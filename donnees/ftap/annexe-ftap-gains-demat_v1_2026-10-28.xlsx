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ez-moi" sheetId="1" state="visible" r:id="rId3"/>
    <sheet name="Synthèse" sheetId="2" state="visible" r:id="rId4"/>
    <sheet name="Projet" sheetId="3" state="visible" r:id="rId5"/>
    <sheet name="Paramètres" sheetId="4" state="visible" r:id="rId6"/>
    <sheet name="Calcul" sheetId="5" state="visible" r:id="rId7"/>
    <sheet name="Matrice" sheetId="6" state="visible" r:id="rId8"/>
    <sheet name="Annexe FTAP" sheetId="7" state="visible" r:id="rId9"/>
    <sheet name="Indicateurs" sheetId="8" state="visible" r:id="rId10"/>
  </sheets>
  <definedNames>
    <definedName function="false" hidden="false" name="agents" vbProcedure="false">Projet!$C$16</definedName>
    <definedName function="false" hidden="false" name="al1" vbProcedure="false">Indicateurs!$A$38</definedName>
    <definedName function="false" hidden="false" name="al2" vbProcedure="false">Indicateurs!$A$39</definedName>
    <definedName function="false" hidden="false" name="al3" vbProcedure="false">Indicateurs!$A$40</definedName>
    <definedName function="false" hidden="false" name="al4" vbProcedure="false">Indicateurs!$A$41</definedName>
    <definedName function="false" hidden="false" name="al5" vbProcedure="false">Indicateurs!$A$42</definedName>
    <definedName function="false" hidden="false" name="al6" vbProcedure="false">Indicateurs!$A$43</definedName>
    <definedName function="false" hidden="false" name="al7" vbProcedure="false">Indicateurs!$A$44</definedName>
    <definedName function="false" hidden="false" name="al8" vbProcedure="false">Indicateurs!$A$45</definedName>
    <definedName function="false" hidden="false" name="build" vbProcedure="false">Projet!$C$34</definedName>
    <definedName function="false" hidden="false" name="champs" vbProcedure="false">Projet!$C$12</definedName>
    <definedName function="false" hidden="false" name="cib_C" vbProcedure="false">Projet!$C$23</definedName>
    <definedName function="false" hidden="false" name="cib_delai" vbProcedure="false">Calcul!$C$25</definedName>
    <definedName function="false" hidden="false" name="cib_T" vbProcedure="false">Projet!$C$24</definedName>
    <definedName function="false" hidden="false" name="cib_tA" vbProcedure="false">Calcul!$C$17</definedName>
    <definedName function="false" hidden="false" name="cib_tU" vbProcedure="false">Calcul!$C$18</definedName>
    <definedName function="false" hidden="false" name="codesC" vbProcedure="false">Paramètres!$A$6:$A$11</definedName>
    <definedName function="false" hidden="false" name="codesT" vbProcedure="false">Paramètres!$A$15:$A$18</definedName>
    <definedName function="false" hidden="false" name="cout_A" vbProcedure="false">Paramètres!$C$28</definedName>
    <definedName function="false" hidden="false" name="cout_B" vbProcedure="false">Paramètres!$C$29</definedName>
    <definedName function="false" hidden="false" name="cout_C" vbProcedure="false">Paramètres!$C$30</definedName>
    <definedName function="false" hidden="false" name="cout_etp" vbProcedure="false">Calcul!$B$31</definedName>
    <definedName function="false" hidden="false" name="cout_h" vbProcedure="false">Calcul!$B$32</definedName>
    <definedName function="false" hidden="false" name="cout_num" vbProcedure="false">Paramètres!$C$33</definedName>
    <definedName function="false" hidden="false" name="cout_page" vbProcedure="false">Paramètres!$C$32</definedName>
    <definedName function="false" hidden="false" name="c_doss" vbProcedure="false">Indicateurs!$B$26</definedName>
    <definedName function="false" hidden="false" name="dA_p" vbProcedure="false">Calcul!$C$37</definedName>
    <definedName function="false" hidden="false" name="dA_r" vbProcedure="false">Calcul!$D$37</definedName>
    <definedName function="false" hidden="false" name="dD_p" vbProcedure="false">Calcul!$C$53</definedName>
    <definedName function="false" hidden="false" name="dD_r" vbProcedure="false">Calcul!$D$53</definedName>
    <definedName function="false" hidden="false" name="decl_amt" vbProcedure="false">Projet!$D$46:$D$51</definedName>
    <definedName function="false" hidden="false" name="decl_amt_ind" vbProcedure="false">Projet!$D$53:$D$55</definedName>
    <definedName function="false" hidden="false" name="decl_just" vbProcedure="false">Projet!$E$46:$E$51</definedName>
    <definedName function="false" hidden="false" name="decl_just_ind" vbProcedure="false">Projet!$E$53:$E$55</definedName>
    <definedName function="false" hidden="false" name="dep_C" vbProcedure="false">Projet!$C$21</definedName>
    <definedName function="false" hidden="false" name="dep_delai" vbProcedure="false">Calcul!$B$25</definedName>
    <definedName function="false" hidden="false" name="dep_fr" vbProcedure="false">Calcul!$B$23</definedName>
    <definedName function="false" hidden="false" name="dep_T" vbProcedure="false">Projet!$C$22</definedName>
    <definedName function="false" hidden="false" name="dep_tA" vbProcedure="false">Calcul!$B$17</definedName>
    <definedName function="false" hidden="false" name="dep_tU" vbProcedure="false">Calcul!$B$18</definedName>
    <definedName function="false" hidden="false" name="dFR_p" vbProcedure="false">Calcul!$C$39</definedName>
    <definedName function="false" hidden="false" name="dFR_r" vbProcedure="false">Calcul!$D$39</definedName>
    <definedName function="false" hidden="false" name="diff_c" vbProcedure="false">Indicateurs!$B$28</definedName>
    <definedName function="false" hidden="false" name="diff_g" vbProcedure="false">Indicateurs!$B$27</definedName>
    <definedName function="false" hidden="false" name="diff_roi" vbProcedure="false">Indicateurs!$B$29</definedName>
    <definedName function="false" hidden="false" name="dossiers" vbProcedure="false">Projet!$C$9</definedName>
    <definedName function="false" hidden="false" name="dU_p" vbProcedure="false">Calcul!$C$38</definedName>
    <definedName function="false" hidden="false" name="dU_r" vbProcedure="false">Calcul!$D$38</definedName>
    <definedName function="false" hidden="false" name="d_autre" vbProcedure="false">Projet!$D$51</definedName>
    <definedName function="false" hidden="false" name="d_autre_j" vbProcedure="false">Projet!$E$51</definedName>
    <definedName function="false" hidden="false" name="d_cont" vbProcedure="false">Projet!$D$53</definedName>
    <definedName function="false" hidden="false" name="d_cont_j" vbProcedure="false">Projet!$E$53</definedName>
    <definedName function="false" hidden="false" name="d_immo" vbProcedure="false">Projet!$D$50</definedName>
    <definedName function="false" hidden="false" name="d_immo_j" vbProcedure="false">Projet!$E$50</definedName>
    <definedName function="false" hidden="false" name="d_ind" vbProcedure="false">Projet!$D$54</definedName>
    <definedName function="false" hidden="false" name="d_ind_j" vbProcedure="false">Projet!$E$54</definedName>
    <definedName function="false" hidden="false" name="d_infra" vbProcedure="false">Projet!$D$49</definedName>
    <definedName function="false" hidden="false" name="d_infra_j" vbProcedure="false">Projet!$E$49</definedName>
    <definedName function="false" hidden="false" name="d_inv" vbProcedure="false">Projet!$D$52</definedName>
    <definedName function="false" hidden="false" name="d_inv_j" vbProcedure="false">Projet!$E$52</definedName>
    <definedName function="false" hidden="false" name="d_lic" vbProcedure="false">Projet!$D$48</definedName>
    <definedName function="false" hidden="false" name="d_lic_j" vbProcedure="false">Projet!$E$48</definedName>
    <definedName function="false" hidden="false" name="d_mco" vbProcedure="false">Projet!$D$47</definedName>
    <definedName function="false" hidden="false" name="d_mco_j" vbProcedure="false">Projet!$E$47</definedName>
    <definedName function="false" hidden="false" name="d_presta" vbProcedure="false">Projet!$D$46</definedName>
    <definedName function="false" hidden="false" name="d_presta_j" vbProcedure="false">Projet!$E$46</definedName>
    <definedName function="false" hidden="false" name="d_rec" vbProcedure="false">Projet!$D$55</definedName>
    <definedName function="false" hidden="false" name="d_rec_j" vbProcedure="false">Projet!$E$55</definedName>
    <definedName function="false" hidden="false" name="eF1_p" vbProcedure="false">Calcul!$C$48</definedName>
    <definedName function="false" hidden="false" name="eF1_r" vbProcedure="false">Calcul!$D$48</definedName>
    <definedName function="false" hidden="false" name="eF2_p" vbProcedure="false">Calcul!$C$49</definedName>
    <definedName function="false" hidden="false" name="eF2_r" vbProcedure="false">Calcul!$D$49</definedName>
    <definedName function="false" hidden="false" name="eF3_p" vbProcedure="false">Calcul!$C$50</definedName>
    <definedName function="false" hidden="false" name="eF3_r" vbProcedure="false">Calcul!$D$50</definedName>
    <definedName function="false" hidden="false" name="eF4_p" vbProcedure="false">Calcul!$C$51</definedName>
    <definedName function="false" hidden="false" name="eF4_r" vbProcedure="false">Calcul!$D$51</definedName>
    <definedName function="false" hidden="false" name="eF_p" vbProcedure="false">Calcul!$C$47</definedName>
    <definedName function="false" hidden="false" name="eF_r" vbProcedure="false">Calcul!$D$47</definedName>
    <definedName function="false" hidden="false" name="eS_p" vbProcedure="false">Calcul!$C$45</definedName>
    <definedName function="false" hidden="false" name="eS_r" vbProcedure="false">Calcul!$D$45</definedName>
    <definedName function="false" hidden="false" name="etapes" vbProcedure="false">Projet!$C$14</definedName>
    <definedName function="false" hidden="false" name="etpL_p" vbProcedure="false">Calcul!$C$42</definedName>
    <definedName function="false" hidden="false" name="etpL_r" vbProcedure="false">Calcul!$D$42</definedName>
    <definedName function="false" hidden="false" name="etpR_p" vbProcedure="false">Calcul!$C$44</definedName>
    <definedName function="false" hidden="false" name="etpR_r" vbProcedure="false">Calcul!$D$44</definedName>
    <definedName function="false" hidden="false" name="etpS_p" vbProcedure="false">Calcul!$C$43</definedName>
    <definedName function="false" hidden="false" name="etpS_r" vbProcedure="false">Calcul!$D$43</definedName>
    <definedName function="false" hidden="false" name="factu" vbProcedure="false">Indicateurs!$B$30</definedName>
    <definedName function="false" hidden="false" name="fond_min" vbProcedure="false">Projet!$C$15</definedName>
    <definedName function="false" hidden="false" name="ftap_direct" vbProcedure="false">'Annexe FTAP'!$D$43</definedName>
    <definedName function="false" hidden="false" name="ftap_ind" vbProcedure="false">'Annexe FTAP'!$D$45</definedName>
    <definedName function="false" hidden="false" name="g_doss" vbProcedure="false">Indicateurs!$B$24</definedName>
    <definedName function="false" hidden="false" name="hL_p" vbProcedure="false">Calcul!$C$41</definedName>
    <definedName function="false" hidden="false" name="hL_r" vbProcedure="false">Calcul!$D$41</definedName>
    <definedName function="false" hidden="false" name="horizon" vbProcedure="false">Projet!$C$36</definedName>
    <definedName function="false" hidden="false" name="h_besoin" vbProcedure="false">Indicateurs!$B$33</definedName>
    <definedName function="false" hidden="false" name="h_dispo" vbProcedure="false">Indicateurs!$B$34</definedName>
    <definedName function="false" hidden="false" name="h_etp" vbProcedure="false">Paramètres!$C$27</definedName>
    <definedName function="false" hidden="false" name="montee" vbProcedure="false">Paramètres!$C$36</definedName>
    <definedName function="false" hidden="false" name="nB_p" vbProcedure="false">Calcul!$C$40</definedName>
    <definedName function="false" hidden="false" name="nB_r" vbProcedure="false">Calcul!$D$40</definedName>
    <definedName function="false" hidden="false" name="part_saisie" vbProcedure="false">Paramètres!$C$22</definedName>
    <definedName function="false" hidden="false" name="part_temps" vbProcedure="false">Projet!$C$17</definedName>
    <definedName function="false" hidden="false" name="payback" vbProcedure="false">Indicateurs!$B$23</definedName>
    <definedName function="false" hidden="false" name="pj" vbProcedure="false">Projet!$C$13</definedName>
    <definedName function="false" hidden="false" name="pj_api" vbProcedure="false">Paramètres!$C$24</definedName>
    <definedName function="false" hidden="false" name="pp_share" vbProcedure="false">Projet!$C$11</definedName>
    <definedName function="false" hidden="false" name="prerempli" vbProcedure="false">Paramètres!$C$23</definedName>
    <definedName function="false" hidden="false" name="p_min" vbProcedure="false">Projet!$C$6</definedName>
    <definedName function="false" hidden="false" name="p_nom" vbProcedure="false">Projet!$C$5</definedName>
    <definedName function="false" hidden="false" name="rate_pm" vbProcedure="false">Paramètres!$C$35</definedName>
    <definedName function="false" hidden="false" name="rate_pp" vbProcedure="false">Paramètres!$C$34</definedName>
    <definedName function="false" hidden="false" name="rate_u" vbProcedure="false">Calcul!$B$33</definedName>
    <definedName function="false" hidden="false" name="ratio_eff" vbProcedure="false">Indicateurs!$B$35</definedName>
    <definedName function="false" hidden="false" name="ref_build" vbProcedure="false">Projet!$C$41</definedName>
    <definedName function="false" hidden="false" name="ref_C" vbProcedure="false">Projet!$C$39</definedName>
    <definedName function="false" hidden="false" name="ref_run" vbProcedure="false">Projet!$C$42</definedName>
    <definedName function="false" hidden="false" name="ref_T" vbProcedure="false">Projet!$C$40</definedName>
    <definedName function="false" hidden="false" name="relance_par_pj" vbProcedure="false">Paramètres!$C$25</definedName>
    <definedName function="false" hidden="false" name="rep_A" vbProcedure="false">Projet!$C$28</definedName>
    <definedName function="false" hidden="false" name="rep_B" vbProcedure="false">Projet!$C$29</definedName>
    <definedName function="false" hidden="false" name="rep_C" vbProcedure="false">Projet!$C$30</definedName>
    <definedName function="false" hidden="false" name="rep_tot" vbProcedure="false">Projet!$C$31</definedName>
    <definedName function="false" hidden="false" name="roi_b" vbProcedure="false">Indicateurs!$B$21</definedName>
    <definedName function="false" hidden="false" name="roi_e" vbProcedure="false">Indicateurs!$B$22</definedName>
    <definedName function="false" hidden="false" name="run" vbProcedure="false">Projet!$C$35</definedName>
    <definedName function="false" hidden="false" name="scenario" vbProcedure="false">Projet!$C$25</definedName>
    <definedName function="false" hidden="false" name="scen_noms" vbProcedure="false">Paramètres!$B$40:$B$42</definedName>
    <definedName function="false" hidden="false" name="scen_tab" vbProcedure="false">Paramètres!$C$40:$E$42</definedName>
    <definedName function="false" hidden="false" name="seuil" vbProcedure="false">Indicateurs!$B$25</definedName>
    <definedName function="false" hidden="false" name="si_aval" vbProcedure="false">Projet!$C$18</definedName>
    <definedName function="false" hidden="false" name="s_adopt" vbProcedure="false">Calcul!$B$30</definedName>
    <definedName function="false" hidden="false" name="s_conv" vbProcedure="false">Calcul!$B$29</definedName>
    <definedName function="false" hidden="false" name="s_fact" vbProcedure="false">Calcul!$B$28</definedName>
    <definedName function="false" hidden="false" name="tarif_lettre" vbProcedure="false">Paramètres!$C$31</definedName>
    <definedName function="false" hidden="false" name="tblC" vbProcedure="false">Paramètres!$C$6:$N$11</definedName>
    <definedName function="false" hidden="false" name="tblT" vbProcedure="false">Paramètres!$C$15:$K$18</definedName>
    <definedName function="false" hidden="false" name="u_relance" vbProcedure="false">Paramètres!$C$26</definedName>
    <definedName function="false" hidden="false" name="vol_source" vbProcedure="false">Projet!$C$10</definedName>
    <definedName function="false" hidden="false" name="vR_p" vbProcedure="false">Calcul!$C$46</definedName>
    <definedName function="false" hidden="false" name="vR_r" vbProcedure="false">Calcul!$D$46</definedName>
    <definedName function="false" hidden="false" name="vU_p" vbProcedure="false">Calcul!$C$52</definedName>
    <definedName function="false" hidden="false" name="vU_r" vbProcedure="false">Calcul!$D$52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<sst xmlns="http://schemas.openxmlformats.org/spreadsheetml/2006/main" count="535" uniqueCount="395">
  <si>
    <t xml:space="preserve">Annexe complémentaire FTAP — factualiser les gains de la dématérialisation</t>
  </si>
  <si>
    <t xml:space="preserve">FORM 2026 · version de travail du 28 octobre 2026 · hypothèses provisoires, à consolider avec le cabinet</t>
  </si>
  <si>
    <t xml:space="preserve">À quoi sert ce classeur</t>
  </si>
  <si>
    <t xml:space="preserve">L'annexe « économies » du FTAP ne calcule qu'une chose : coût d'un ETP × nombre d'ETP. Le nombre d'ETP, lui, est déclaré. Les autres gains (fonctionnement, indirects) sont des montants saisis, avec une méthode de calcul en texte libre.</t>
  </si>
  <si>
    <t xml:space="preserve">Ce classeur part de l'activité réelle de la démarche (dossiers par an, champs, pièces justificatives, étapes d'instruction, agents) et de deux situations — le niveau de départ et le niveau cible — pour CALCULER le temps gagné, les ETP, les frais physiques évités et les gains usagers. Il alimente ensuite l'annexe FTAP à l'identique de sa structure.</t>
  </si>
  <si>
    <t xml:space="preserve">Comment l'utiliser</t>
  </si>
  <si>
    <t xml:space="preserve">1. Onglet « Projet » : remplir les cellules jaunes à texte bleu (volumes, profil de la démarche, niveaux de départ et cible, coûts du projet, montants déclarés). Une ligne d'exemple est préremplie : la remplacer.</t>
  </si>
  <si>
    <t xml:space="preserve">2. Onglet « Matrice » : lire le temps de traitement et le gain annuel pour chaque combinaison collecte × traitement, avec le profil du projet. La cellule de départ et la cellule cible sont rappelées en haut.</t>
  </si>
  <si>
    <t xml:space="preserve">3. Onglet « Annexe FTAP » : la grille FTAP 2023, alimentée par le calcul. Les ETP redéployés y sont valorisés à part : ils libèrent de la capacité, ils ne réduisent pas la dépense.</t>
  </si>
  <si>
    <t xml:space="preserve">4. Onglets « Indicateurs » et « Synthèse » : ROI budgétaire au sens FTAP, ROI élargi (MAREVA), seuil de volume, délai de retour, gain différentiel par rapport à la solution mutualisée, taux de factualisation, alertes de plausibilité.</t>
  </si>
  <si>
    <t xml:space="preserve">5. Onglet « Paramètres » : toutes les hypothèses, avec leur statut. Le cabinet calibre ces valeurs ; la structure du calcul reste stable.</t>
  </si>
  <si>
    <t xml:space="preserve">Les niveaux</t>
  </si>
  <si>
    <t xml:space="preserve">C0 — Courrier / guichet papier</t>
  </si>
  <si>
    <t xml:space="preserve">C1 — Courriel libre + PJ</t>
  </si>
  <si>
    <t xml:space="preserve">C2 — Formulaire PDF par courriel</t>
  </si>
  <si>
    <t xml:space="preserve">C3 — En ligne, non intégré (export, ressaisie)</t>
  </si>
  <si>
    <t xml:space="preserve">C4 — En ligne structuré, instruit sur plateforme</t>
  </si>
  <si>
    <t xml:space="preserve">C5 — Intégré + prérempli (API, DLNUF)</t>
  </si>
  <si>
    <t xml:space="preserve">T0 — Boîte fonctionnelle, papier</t>
  </si>
  <si>
    <t xml:space="preserve">T1 — Tableur de suivi</t>
  </si>
  <si>
    <t xml:space="preserve">T2 — Instruction sur plateforme</t>
  </si>
  <si>
    <t xml:space="preserve">T3 — Interconnecté au SI aval</t>
  </si>
  <si>
    <t xml:space="preserve">Méthode</t>
  </si>
  <si>
    <t xml:space="preserve">Le temps agent « sensible à la dématérialisation » est décomposé par étape du processus : réception et enregistrement, ressaisie des champs, vérification des pièces, relances pour dossier incomplet, circulation entre étapes (avis, visas), notification, ressaisie dans le SI aval, archivage. Chaque étape dépend du niveau de collecte, du niveau de traitement, ou des deux.</t>
  </si>
  <si>
    <t xml:space="preserve">L'instruction au fond n'est pas réduite par la dématérialisation : elle est saisie à part, sert au contrôle de plausibilité des effectifs, et n'entre jamais dans les gains.</t>
  </si>
  <si>
    <t xml:space="preserve">Ancrages : avec les valeurs par défaut, un dossier reçu en PDF dans une boîte fonctionnelle (C2/T0) demande 12 à 29 minutes selon sa complexité, contre 1,5 à 3,3 minutes instruit sur la plateforme (C4/T2) — cohérent avec les paramètres du simulateur FORM 2026 (11 à 30 min contre 1,5 à 3 min ; gain administration de 6,79 à 10,70 € par dossier).</t>
  </si>
  <si>
    <t xml:space="preserve">Le gain est toujours un écart entre deux situations, jamais un absolu. Le niveau de départ doit donc être justifié (volumes par canal).</t>
  </si>
  <si>
    <t xml:space="preserve">Statut des hypothèses</t>
  </si>
  <si>
    <t xml:space="preserve">« FORM 2026 » : valeur reprise du simulateur publié. « Provisoire » : valeur de travail, à calibrer par mesure (chronométrage sur 30 dossiers, extraction) ou par le cabinet. Aucune valeur provisoire ne doit être citée comme un résultat.</t>
  </si>
  <si>
    <t xml:space="preserve">Légende : cellules jaunes à texte bleu = saisie ; texte noir = formule ; texte vert = lien vers un autre onglet.</t>
  </si>
  <si>
    <t xml:space="preserve">Par dossier</t>
  </si>
  <si>
    <t xml:space="preserve">Départ</t>
  </si>
  <si>
    <t xml:space="preserve">Cible</t>
  </si>
  <si>
    <t xml:space="preserve">Temps agent sensible à la démat</t>
  </si>
  <si>
    <t xml:space="preserve">Temps usager</t>
  </si>
  <si>
    <t xml:space="preserve">Délai indicatif</t>
  </si>
  <si>
    <t xml:space="preserve">En régime de croisière (par an)</t>
  </si>
  <si>
    <t xml:space="preserve">Valeur</t>
  </si>
  <si>
    <t xml:space="preserve">Dossiers basculés</t>
  </si>
  <si>
    <t xml:space="preserve">ETP libérés</t>
  </si>
  <si>
    <t xml:space="preserve">dont supprimés (engagement)</t>
  </si>
  <si>
    <t xml:space="preserve">Économies directes annuelles (annexe FTAP)</t>
  </si>
  <si>
    <t xml:space="preserve">Économies indirectes déclarées</t>
  </si>
  <si>
    <t xml:space="preserve">Capacité redéployée valorisée</t>
  </si>
  <si>
    <t xml:space="preserve">Gains usagers valorisés</t>
  </si>
  <si>
    <t xml:space="preserve">Décision</t>
  </si>
  <si>
    <t xml:space="preserve">ROI budgétaire (FTAP)</t>
  </si>
  <si>
    <t xml:space="preserve">ROI élargi (MAREVA)</t>
  </si>
  <si>
    <t xml:space="preserve">Délai de retour budgétaire (années)</t>
  </si>
  <si>
    <t xml:space="preserve">Seuil de volume (dossiers par an)</t>
  </si>
  <si>
    <t xml:space="preserve">Volume déclaré (dossiers par an)</t>
  </si>
  <si>
    <t xml:space="preserve">Rendement du surcoût vs solution mutualisée</t>
  </si>
  <si>
    <t xml:space="preserve">Taux de factualisation</t>
  </si>
  <si>
    <t xml:space="preserve">Alertes</t>
  </si>
  <si>
    <t xml:space="preserve">Hypothèses provisoires : ordre de grandeur pour apprécier un dossier, pas un chiffrage opposable.</t>
  </si>
  <si>
    <t xml:space="preserve">Fiche projet — saisie</t>
  </si>
  <si>
    <t xml:space="preserve">Cellules jaunes à texte bleu : à remplir. Les valeurs présentes sont un exemple fictif, à remplacer.</t>
  </si>
  <si>
    <t xml:space="preserve">Identification</t>
  </si>
  <si>
    <t xml:space="preserve">Intitulé du projet</t>
  </si>
  <si>
    <t xml:space="preserve">Dématérialisation de la demande d'autorisation X (exemple)</t>
  </si>
  <si>
    <t xml:space="preserve">Ministère porteur</t>
  </si>
  <si>
    <t xml:space="preserve">Ministère Y</t>
  </si>
  <si>
    <t xml:space="preserve">Activité de la démarche (à factualiser : open data FORM 2026, statistiques du service)</t>
  </si>
  <si>
    <t xml:space="preserve">Dossiers par an</t>
  </si>
  <si>
    <t xml:space="preserve">Source : statistiques du service, open data Démarche Numérique ou FORM 2026.</t>
  </si>
  <si>
    <t xml:space="preserve">Origine du volume</t>
  </si>
  <si>
    <t xml:space="preserve">Estimé</t>
  </si>
  <si>
    <t xml:space="preserve">« Mesuré » si le volume vient d'une source vérifiable. Pèse dans le taux de factualisation.</t>
  </si>
  <si>
    <t xml:space="preserve">Part des dossiers déposés par des particuliers</t>
  </si>
  <si>
    <t xml:space="preserve">Le reste : entreprises, associations, collectivités (valeur du temps différente).</t>
  </si>
  <si>
    <t xml:space="preserve">Nombre de champs du formulaire</t>
  </si>
  <si>
    <t xml:space="preserve">FORM 2026 : extraction des champs de la démarche. À défaut, profils indicatifs (onglet Paramètres).</t>
  </si>
  <si>
    <t xml:space="preserve">Nombre de pièces justificatives demandées</t>
  </si>
  <si>
    <t xml:space="preserve">Nombre d'étapes d'instruction (avis, visas, passages de main)</t>
  </si>
  <si>
    <t xml:space="preserve">Temps d'instruction au fond par dossier (min)</t>
  </si>
  <si>
    <t xml:space="preserve">Non réduit par la dématérialisation. Sert uniquement au contrôle de plausibilité des effectifs.</t>
  </si>
  <si>
    <t xml:space="preserve">Agents instructeurs affectés à la démarche</t>
  </si>
  <si>
    <t xml:space="preserve">Part de leur temps consacrée à la démarche</t>
  </si>
  <si>
    <t xml:space="preserve">La décision doit-elle être reportée dans un SI aval (financier, métier) ?</t>
  </si>
  <si>
    <t xml:space="preserve">Oui</t>
  </si>
  <si>
    <t xml:space="preserve">Situation de départ et cible</t>
  </si>
  <si>
    <t xml:space="preserve">Niveau de collecte au départ</t>
  </si>
  <si>
    <t xml:space="preserve">C2</t>
  </si>
  <si>
    <t xml:space="preserve">À justifier : répartition actuelle des dossiers par canal. Si plusieurs canaux coexistent, retenir le canal majoritaire et le signaler.</t>
  </si>
  <si>
    <t xml:space="preserve">Niveau de traitement au départ</t>
  </si>
  <si>
    <t xml:space="preserve">T1</t>
  </si>
  <si>
    <t xml:space="preserve">Niveau de collecte cible</t>
  </si>
  <si>
    <t xml:space="preserve">C4</t>
  </si>
  <si>
    <t xml:space="preserve">Niveau de traitement cible</t>
  </si>
  <si>
    <t xml:space="preserve">T3</t>
  </si>
  <si>
    <t xml:space="preserve">Jeu d'hypothèses</t>
  </si>
  <si>
    <t xml:space="preserve">centrale</t>
  </si>
  <si>
    <t xml:space="preserve">prudente / centrale / haute (onglet Paramètres, section 4).</t>
  </si>
  <si>
    <t xml:space="preserve">Répartition des agents instructeurs par catégorie</t>
  </si>
  <si>
    <t xml:space="preserve">Catégorie A</t>
  </si>
  <si>
    <t xml:space="preserve">Catégorie B</t>
  </si>
  <si>
    <t xml:space="preserve">Catégorie C</t>
  </si>
  <si>
    <t xml:space="preserve">Contrôle : total des catégories</t>
  </si>
  <si>
    <t xml:space="preserve">Coûts du projet</t>
  </si>
  <si>
    <t xml:space="preserve">Coût d'investissement (construction, déploiement)</t>
  </si>
  <si>
    <t xml:space="preserve">Coût de fonctionnement annuel (run, hébergement, maintenance, licences)</t>
  </si>
  <si>
    <t xml:space="preserve">Horizon d'analyse (années, 7 au plus)</t>
  </si>
  <si>
    <t xml:space="preserve">Solution mutualisée de référence (gain différentiel)</t>
  </si>
  <si>
    <t xml:space="preserve">Collecte atteinte par la solution de référence</t>
  </si>
  <si>
    <t xml:space="preserve">Par défaut : paramétrage d'une démarche sur une plateforme mutualisée, instruite sur la plateforme.</t>
  </si>
  <si>
    <t xml:space="preserve">Traitement atteint par la solution de référence</t>
  </si>
  <si>
    <t xml:space="preserve">T2</t>
  </si>
  <si>
    <t xml:space="preserve">Coût de mise en place de la référence</t>
  </si>
  <si>
    <t xml:space="preserve">Provisoire : paramétrage, accompagnement. À calibrer.</t>
  </si>
  <si>
    <t xml:space="preserve">Coût annuel de la référence pour le porteur</t>
  </si>
  <si>
    <t xml:space="preserve">Plateforme mutualisée : coût nul ou marginal pour le porteur.</t>
  </si>
  <si>
    <t xml:space="preserve">Gains déclarés hors modèle (une ligne par source)</t>
  </si>
  <si>
    <t xml:space="preserve">Nature</t>
  </si>
  <si>
    <t xml:space="preserve">Rubrique FTAP</t>
  </si>
  <si>
    <t xml:space="preserve">Montant (€)</t>
  </si>
  <si>
    <t xml:space="preserve">Justificatif fourni</t>
  </si>
  <si>
    <t xml:space="preserve">Méthode, source, pièce</t>
  </si>
  <si>
    <t xml:space="preserve">Prestations externes supprimées (hors numérisation calculée)</t>
  </si>
  <si>
    <t xml:space="preserve">1.2</t>
  </si>
  <si>
    <t xml:space="preserve">Non</t>
  </si>
  <si>
    <t xml:space="preserve">Ex. marché de saisie externalisée : montant annuel avant / après</t>
  </si>
  <si>
    <t xml:space="preserve">MCO d'applications décommissionnées</t>
  </si>
  <si>
    <t xml:space="preserve">Ex. contrat de maintenance de l'application locale de suivi (pièce : bon de commande)</t>
  </si>
  <si>
    <t xml:space="preserve">Licences supprimées</t>
  </si>
  <si>
    <t xml:space="preserve">Infrastructure informatique</t>
  </si>
  <si>
    <t xml:space="preserve">Immobilier (surfaces d'archives libérées…)</t>
  </si>
  <si>
    <t xml:space="preserve">m² libérés × coût du m²</t>
  </si>
  <si>
    <t xml:space="preserve">Autres frais de fonctionnement non calculés</t>
  </si>
  <si>
    <t xml:space="preserve">Investissement évité (ponctuel, année 1)</t>
  </si>
  <si>
    <t xml:space="preserve">1.3</t>
  </si>
  <si>
    <t xml:space="preserve">Ex. renouvellement d'un serveur évité</t>
  </si>
  <si>
    <t xml:space="preserve">Contentieux et recours évités</t>
  </si>
  <si>
    <t xml:space="preserve">2</t>
  </si>
  <si>
    <t xml:space="preserve">Nombre de recours par an × coût moyen d'un recours</t>
  </si>
  <si>
    <t xml:space="preserve">Autres économies indirectes (indus, décisions implicites subies…)</t>
  </si>
  <si>
    <t xml:space="preserve">Nouvelles recettes</t>
  </si>
  <si>
    <t xml:space="preserve">3</t>
  </si>
  <si>
    <t xml:space="preserve">Les montants récurrents sont annuels et comptés à partir de l'année 2. L'investissement évité est ponctuel (année 1).</t>
  </si>
  <si>
    <t xml:space="preserve">Paramètres et hypothèses</t>
  </si>
  <si>
    <t xml:space="preserve">Toutes les valeurs bleues sont modifiables. Statut indiqué en colonne O ou E. Minutes agent par dossier sauf mention.</t>
  </si>
  <si>
    <t xml:space="preserve">1. Par niveau de collecte</t>
  </si>
  <si>
    <t xml:space="preserve">Code</t>
  </si>
  <si>
    <t xml:space="preserve">Niveau de collecte</t>
  </si>
  <si>
    <t xml:space="preserve">Réception, enregistrement (min)</t>
  </si>
  <si>
    <t xml:space="preserve">Ressaisie (min/champ)</t>
  </si>
  <si>
    <t xml:space="preserve">Vérification (min/PJ)</t>
  </si>
  <si>
    <t xml:space="preserve">Taux de dossiers incomplets</t>
  </si>
  <si>
    <t xml:space="preserve">Archivage (min)</t>
  </si>
  <si>
    <t xml:space="preserve">Usager : temps fixe (min)</t>
  </si>
  <si>
    <t xml:space="preserve">Usager : min/champ</t>
  </si>
  <si>
    <t xml:space="preserve">Usager : min/PJ</t>
  </si>
  <si>
    <t xml:space="preserve">Délai de réception (jours)</t>
  </si>
  <si>
    <t xml:space="preserve">Notification par courrier (1/0)</t>
  </si>
  <si>
    <t xml:space="preserve">Archivage physique (€/dossier)</t>
  </si>
  <si>
    <t xml:space="preserve">Affranchissement usager (€/dossier)</t>
  </si>
  <si>
    <t xml:space="preserve">Statut</t>
  </si>
  <si>
    <t xml:space="preserve">C0</t>
  </si>
  <si>
    <t xml:space="preserve">Courrier / guichet papier</t>
  </si>
  <si>
    <t xml:space="preserve">Provisoire — à calibrer</t>
  </si>
  <si>
    <t xml:space="preserve">C1</t>
  </si>
  <si>
    <t xml:space="preserve">Courriel libre + PJ</t>
  </si>
  <si>
    <t xml:space="preserve">Formulaire PDF par courriel</t>
  </si>
  <si>
    <t xml:space="preserve">Provisoire — à calibrer (C2 et C4 ancrés sur le simulateur FORM 2026)</t>
  </si>
  <si>
    <t xml:space="preserve">C3</t>
  </si>
  <si>
    <t xml:space="preserve">En ligne, non intégré (export, ressaisie)</t>
  </si>
  <si>
    <t xml:space="preserve">En ligne structuré, instruit sur plateforme</t>
  </si>
  <si>
    <t xml:space="preserve">C5</t>
  </si>
  <si>
    <t xml:space="preserve">Intégré + prérempli (API, DLNUF)</t>
  </si>
  <si>
    <t xml:space="preserve">2. Par niveau de traitement</t>
  </si>
  <si>
    <t xml:space="preserve">Niveau de traitement</t>
  </si>
  <si>
    <t xml:space="preserve">Relance d'un dossier incomplet (min)</t>
  </si>
  <si>
    <t xml:space="preserve">Circulation par étape (min)</t>
  </si>
  <si>
    <t xml:space="preserve">Notification (min)</t>
  </si>
  <si>
    <t xml:space="preserve">Ressaisie dans le SI aval (min)</t>
  </si>
  <si>
    <t xml:space="preserve">Pages imprimées par dossier</t>
  </si>
  <si>
    <t xml:space="preserve">Pages imprimées par PJ</t>
  </si>
  <si>
    <t xml:space="preserve">Délai d'une relance (jours)</t>
  </si>
  <si>
    <t xml:space="preserve">Délai par étape (jours)</t>
  </si>
  <si>
    <t xml:space="preserve">Rang</t>
  </si>
  <si>
    <t xml:space="preserve">T0</t>
  </si>
  <si>
    <t xml:space="preserve">Boîte fonctionnelle, papier</t>
  </si>
  <si>
    <t xml:space="preserve">Tableur de suivi</t>
  </si>
  <si>
    <t xml:space="preserve">Instruction sur plateforme</t>
  </si>
  <si>
    <t xml:space="preserve">Interconnecté au SI aval</t>
  </si>
  <si>
    <t xml:space="preserve">3. Valeurs générales</t>
  </si>
  <si>
    <t xml:space="preserve">Paramètre</t>
  </si>
  <si>
    <t xml:space="preserve">Unité</t>
  </si>
  <si>
    <t xml:space="preserve">Statut et source</t>
  </si>
  <si>
    <t xml:space="preserve">Part des champs ressaisis ou recopiés</t>
  </si>
  <si>
    <t xml:space="preserve">%</t>
  </si>
  <si>
    <t xml:space="preserve">Provisoire — à mesurer</t>
  </si>
  <si>
    <t xml:space="preserve">Part des champs préremplis en C5</t>
  </si>
  <si>
    <t xml:space="preserve">Provisoire — à rapprocher du % de préremplissage mesuré dans FORM 2026</t>
  </si>
  <si>
    <t xml:space="preserve">Part des PJ remplacées par une API en C5</t>
  </si>
  <si>
    <t xml:space="preserve">Provisoire — dépend des API mobilisables (API Entreprise, API Particulier)</t>
  </si>
  <si>
    <t xml:space="preserve">Hausse du risque d'incomplétude par PJ demandée</t>
  </si>
  <si>
    <t xml:space="preserve">par PJ</t>
  </si>
  <si>
    <t xml:space="preserve">Provisoire</t>
  </si>
  <si>
    <t xml:space="preserve">Temps usager pour répondre à une relance</t>
  </si>
  <si>
    <t xml:space="preserve">min</t>
  </si>
  <si>
    <t xml:space="preserve">Heures travaillées par ETP et par an</t>
  </si>
  <si>
    <t xml:space="preserve">h</t>
  </si>
  <si>
    <t xml:space="preserve">Durée légale annuelle (1 607 h)</t>
  </si>
  <si>
    <t xml:space="preserve">Coût annuel chargé d'un ETP de catégorie A</t>
  </si>
  <si>
    <t xml:space="preserve">€</t>
  </si>
  <si>
    <t xml:space="preserve">Provisoire — remplacer par les coûts moyens du programme budgétaire</t>
  </si>
  <si>
    <t xml:space="preserve">Coût annuel chargé d'un ETP de catégorie B</t>
  </si>
  <si>
    <t xml:space="preserve">Provisoire — idem</t>
  </si>
  <si>
    <t xml:space="preserve">Coût annuel chargé d'un ETP de catégorie C</t>
  </si>
  <si>
    <t xml:space="preserve">Affranchissement d'un envoi par l'administration</t>
  </si>
  <si>
    <t xml:space="preserve">Provisoire — vérifier le tarif postal en vigueur et le marché de l'administration</t>
  </si>
  <si>
    <t xml:space="preserve">Coût d'une page imprimée</t>
  </si>
  <si>
    <t xml:space="preserve">Numérisation externalisée d'un dossier papier</t>
  </si>
  <si>
    <t xml:space="preserve">Provisoire — s'applique au papier instruit sur plateforme (C0 avec T2 ou T3)</t>
  </si>
  <si>
    <t xml:space="preserve">Valeur du temps d'un particulier</t>
  </si>
  <si>
    <t xml:space="preserve">€/h</t>
  </si>
  <si>
    <t xml:space="preserve">FORM 2026 (simulateur)</t>
  </si>
  <si>
    <t xml:space="preserve">Valeur du temps d'une personne morale</t>
  </si>
  <si>
    <t xml:space="preserve">Montée en charge la première année</t>
  </si>
  <si>
    <t xml:space="preserve">4. Jeux d'hypothèses</t>
  </si>
  <si>
    <t xml:space="preserve">Scénario</t>
  </si>
  <si>
    <t xml:space="preserve">Facteur sur les écarts de temps</t>
  </si>
  <si>
    <t xml:space="preserve">Part des ETP libérés effectivement supprimés</t>
  </si>
  <si>
    <t xml:space="preserve">Taux d'adoption du canal cible</t>
  </si>
  <si>
    <t xml:space="preserve">prudente</t>
  </si>
  <si>
    <t xml:space="preserve">Provisoire — le taux de suppression est l'hypothèse la plus discutée : il traduit un engagement du porteur, pas un effet mécanique</t>
  </si>
  <si>
    <t xml:space="preserve">haute</t>
  </si>
  <si>
    <t xml:space="preserve">5. Profils de complexité indicatifs (pour remplir l'onglet Projet si les données FORM ne sont pas disponibles)</t>
  </si>
  <si>
    <t xml:space="preserve">Profil</t>
  </si>
  <si>
    <t xml:space="preserve">Champs</t>
  </si>
  <si>
    <t xml:space="preserve">PJ</t>
  </si>
  <si>
    <t xml:space="preserve">Étapes</t>
  </si>
  <si>
    <t xml:space="preserve">Simple</t>
  </si>
  <si>
    <t xml:space="preserve">Modérée</t>
  </si>
  <si>
    <t xml:space="preserve">Complexe</t>
  </si>
  <si>
    <t xml:space="preserve">Calcul par dossier — départ, cible, référence</t>
  </si>
  <si>
    <t xml:space="preserve">Formules uniquement. Minutes agent par dossier, hors instruction au fond.</t>
  </si>
  <si>
    <t xml:space="preserve">Composante</t>
  </si>
  <si>
    <t xml:space="preserve">Référence</t>
  </si>
  <si>
    <t xml:space="preserve">Formule</t>
  </si>
  <si>
    <t xml:space="preserve">Code collecte</t>
  </si>
  <si>
    <t xml:space="preserve">Code traitement</t>
  </si>
  <si>
    <t xml:space="preserve">PJ effectivement demandées</t>
  </si>
  <si>
    <t xml:space="preserve">PJ × (1 − part remplacée par API si C5)</t>
  </si>
  <si>
    <t xml:space="preserve">Facteur d'incomplétude</t>
  </si>
  <si>
    <t xml:space="preserve">Réception, enregistrement</t>
  </si>
  <si>
    <t xml:space="preserve">Ressaisie des champs</t>
  </si>
  <si>
    <t xml:space="preserve">champs × part ressaisie × min/champ</t>
  </si>
  <si>
    <t xml:space="preserve">Vérification des pièces</t>
  </si>
  <si>
    <t xml:space="preserve">Relances pour dossier incomplet</t>
  </si>
  <si>
    <t xml:space="preserve">taux d'incomplétude × facteur × durée d'une relance</t>
  </si>
  <si>
    <t xml:space="preserve">Circulation entre étapes</t>
  </si>
  <si>
    <t xml:space="preserve">Notification</t>
  </si>
  <si>
    <t xml:space="preserve">Ressaisie dans le SI aval</t>
  </si>
  <si>
    <t xml:space="preserve">Archivage</t>
  </si>
  <si>
    <t xml:space="preserve">Temps usager par dossier</t>
  </si>
  <si>
    <t xml:space="preserve">fixe + champs non préremplis × min/champ + PJ × min/PJ + relances</t>
  </si>
  <si>
    <t xml:space="preserve">Affranchissement administration (€/dossier)</t>
  </si>
  <si>
    <t xml:space="preserve">notification + relances par courrier</t>
  </si>
  <si>
    <t xml:space="preserve">Impression (€/dossier)</t>
  </si>
  <si>
    <t xml:space="preserve">Numérisation externalisée (€/dossier)</t>
  </si>
  <si>
    <t xml:space="preserve">papier instruit sur plateforme</t>
  </si>
  <si>
    <t xml:space="preserve">Frais physiques administration (€/dossier)</t>
  </si>
  <si>
    <t xml:space="preserve">Délai indicatif (jours)</t>
  </si>
  <si>
    <t xml:space="preserve">réception + relances + étapes</t>
  </si>
  <si>
    <t xml:space="preserve">Hypothèses du scénario retenu</t>
  </si>
  <si>
    <t xml:space="preserve">Part des ETP libérés supprimés</t>
  </si>
  <si>
    <t xml:space="preserve">Coût moyen chargé d'un ETP instructeur</t>
  </si>
  <si>
    <t xml:space="preserve">Coût horaire chargé</t>
  </si>
  <si>
    <t xml:space="preserve">Valeur moyenne du temps usager (€/h)</t>
  </si>
  <si>
    <t xml:space="preserve">Gains annuels en régime de croisière (par rapport au départ)</t>
  </si>
  <si>
    <t xml:space="preserve">Indicateur</t>
  </si>
  <si>
    <t xml:space="preserve">Projet (cible)</t>
  </si>
  <si>
    <t xml:space="preserve">Écart de temps agent par dossier</t>
  </si>
  <si>
    <t xml:space="preserve">Écart de temps usager par dossier</t>
  </si>
  <si>
    <t xml:space="preserve">Frais physiques évités par dossier</t>
  </si>
  <si>
    <t xml:space="preserve">Dossiers basculés par an</t>
  </si>
  <si>
    <t xml:space="preserve">Heures agent libérées par an</t>
  </si>
  <si>
    <t xml:space="preserve">dont ETP supprimés</t>
  </si>
  <si>
    <t xml:space="preserve">dont ETP redéployés</t>
  </si>
  <si>
    <t xml:space="preserve">Économies de masse salariale (ETP supprimés)</t>
  </si>
  <si>
    <t xml:space="preserve">Valeur de la capacité redéployée (hors économie)</t>
  </si>
  <si>
    <t xml:space="preserve">Frais physiques évités</t>
  </si>
  <si>
    <t xml:space="preserve">dont affranchissement</t>
  </si>
  <si>
    <t xml:space="preserve">dont impression</t>
  </si>
  <si>
    <t xml:space="preserve">dont numérisation externalisée</t>
  </si>
  <si>
    <t xml:space="preserve">dont archivage physique</t>
  </si>
  <si>
    <t xml:space="preserve">Gain usagers valorisé (temps + affranchissement)</t>
  </si>
  <si>
    <t xml:space="preserve">Délai gagné par dossier</t>
  </si>
  <si>
    <t xml:space="preserve">Matrice collecte × traitement, pour le profil du projet</t>
  </si>
  <si>
    <t xml:space="preserve">Chaque cellule recalcule le temps avec les champs, PJ et étapes de l'onglet Projet. Lire l'écart entre la cellule de départ et la cellule cible.</t>
  </si>
  <si>
    <t xml:space="preserve">1. Temps agent sensible à la dématérialisation (minutes par dossier)</t>
  </si>
  <si>
    <t xml:space="preserve">2. Gain annuel pour l'administration par rapport au départ (temps valorisé + frais physiques, en €)</t>
  </si>
  <si>
    <t xml:space="preserve">3. Délai indicatif de traitement (jours)</t>
  </si>
  <si>
    <t xml:space="preserve">Lecture : le gain de la matrice 2 valorise tout le temps libéré au coût horaire ; l'économie budgétaire n'en retient que la part des ETP supprimés (onglet Annexe FTAP).</t>
  </si>
  <si>
    <t xml:space="preserve">Annexe économies FTAP (structure 2023) — alimentée par le calcul</t>
  </si>
  <si>
    <t xml:space="preserve">Texte vert : valeurs calculées à partir de l'activité. Les montants déclarés renvoient à l'onglet Projet. Régime de croisière, scénario retenu.</t>
  </si>
  <si>
    <t xml:space="preserve">1 - Économies directes engendrées par le projet</t>
  </si>
  <si>
    <t xml:space="preserve">1.1.1. ETP supprimés</t>
  </si>
  <si>
    <t xml:space="preserve">Méthode de calcul</t>
  </si>
  <si>
    <t xml:space="preserve">Nombre d'ETP</t>
  </si>
  <si>
    <t xml:space="preserve">Économies annuelles pérennes (€)</t>
  </si>
  <si>
    <t xml:space="preserve">Coût unitaire (€)</t>
  </si>
  <si>
    <t xml:space="preserve">Origine</t>
  </si>
  <si>
    <t xml:space="preserve">ETP catégorie A</t>
  </si>
  <si>
    <t xml:space="preserve">ETP libérés × part supprimée × part de la catégorie</t>
  </si>
  <si>
    <t xml:space="preserve">Calculé (volume × écart de temps)</t>
  </si>
  <si>
    <t xml:space="preserve">ETP catégorie B</t>
  </si>
  <si>
    <t xml:space="preserve">ETP catégorie C</t>
  </si>
  <si>
    <t xml:space="preserve">TOTAL 1.1.1.</t>
  </si>
  <si>
    <t xml:space="preserve">1.1.2. ETP redéployés</t>
  </si>
  <si>
    <t xml:space="preserve">Tâches à plus forte valeur ajoutée (à décrire)</t>
  </si>
  <si>
    <t xml:space="preserve">Valeur de la capacité redéployée (€)</t>
  </si>
  <si>
    <t xml:space="preserve">Agents de catégorie A redéployés</t>
  </si>
  <si>
    <t xml:space="preserve">Capacité libérée : pas une économie budgétaire</t>
  </si>
  <si>
    <t xml:space="preserve">Agents de catégorie B redéployés</t>
  </si>
  <si>
    <t xml:space="preserve">Agents de catégorie C redéployés</t>
  </si>
  <si>
    <t xml:space="preserve">TOTAL 1.1.2.</t>
  </si>
  <si>
    <t xml:space="preserve">1.2. Économies de dépenses de fonctionnement (hors personnel) — récurrentes</t>
  </si>
  <si>
    <t xml:space="preserve">Justificatif</t>
  </si>
  <si>
    <t xml:space="preserve">Suppression ou réduction du recours aux prestations externes</t>
  </si>
  <si>
    <t xml:space="preserve">Numérisation externalisée évitée (calculée) + prestations déclarées</t>
  </si>
  <si>
    <t xml:space="preserve">Calculé + déclaré</t>
  </si>
  <si>
    <t xml:space="preserve">Suppression ou réduction de coûts de MCO</t>
  </si>
  <si>
    <t xml:space="preserve">Déclaré</t>
  </si>
  <si>
    <t xml:space="preserve">Suppression ou réduction de coûts de licence</t>
  </si>
  <si>
    <t xml:space="preserve">Suppression ou réduction de coûts d'infrastructure</t>
  </si>
  <si>
    <t xml:space="preserve">Suppression ou réduction de coûts immobiliers</t>
  </si>
  <si>
    <t xml:space="preserve">Affranchissement (notifications, relances)</t>
  </si>
  <si>
    <t xml:space="preserve">Dossiers basculés × écart d'affranchissement par dossier</t>
  </si>
  <si>
    <t xml:space="preserve">—</t>
  </si>
  <si>
    <t xml:space="preserve">Calculé</t>
  </si>
  <si>
    <t xml:space="preserve">Impression et reprographie</t>
  </si>
  <si>
    <t xml:space="preserve">Dossiers basculés × écart de pages imprimées × coût de la page</t>
  </si>
  <si>
    <t xml:space="preserve">Archivage physique</t>
  </si>
  <si>
    <t xml:space="preserve">Dossiers basculés × coût d'archivage papier par dossier</t>
  </si>
  <si>
    <t xml:space="preserve">Autres coûts de fonctionnement</t>
  </si>
  <si>
    <t xml:space="preserve">TOTAL 1.2.</t>
  </si>
  <si>
    <t xml:space="preserve">1.3. Économies de dépenses d'investissement — ponctuelles</t>
  </si>
  <si>
    <t xml:space="preserve">Investissement évité</t>
  </si>
  <si>
    <t xml:space="preserve">2 - Économies indirectes</t>
  </si>
  <si>
    <t xml:space="preserve">Coûts de contentieux évités</t>
  </si>
  <si>
    <t xml:space="preserve">Autres économies indirectes</t>
  </si>
  <si>
    <t xml:space="preserve">TOTAL 2.</t>
  </si>
  <si>
    <t xml:space="preserve">3 - Nouvelles recettes</t>
  </si>
  <si>
    <t xml:space="preserve">Recettes nouvelles</t>
  </si>
  <si>
    <t xml:space="preserve">TOTAL ÉCONOMIES DIRECTES ANNUELLES ET PÉRENNES</t>
  </si>
  <si>
    <t xml:space="preserve">Dont économies ponctuelles</t>
  </si>
  <si>
    <t xml:space="preserve">TOTAL ÉCONOMIES INDIRECTES</t>
  </si>
  <si>
    <t xml:space="preserve">TOTAL RECETTES</t>
  </si>
  <si>
    <t xml:space="preserve">Hors annexe FTAP — valeur non budgétaire (axe « externalités » de MAREVA)</t>
  </si>
  <si>
    <t xml:space="preserve">Capacité agent redéployée</t>
  </si>
  <si>
    <t xml:space="preserve">Temps et frais des usagers</t>
  </si>
  <si>
    <t xml:space="preserve">Délai gagné par dossier (jours)</t>
  </si>
  <si>
    <t xml:space="preserve">Indicateurs pluriannuels et contrôles</t>
  </si>
  <si>
    <t xml:space="preserve">Année</t>
  </si>
  <si>
    <t xml:space="preserve">1</t>
  </si>
  <si>
    <t xml:space="preserve">4</t>
  </si>
  <si>
    <t xml:space="preserve">5</t>
  </si>
  <si>
    <t xml:space="preserve">6</t>
  </si>
  <si>
    <t xml:space="preserve">7</t>
  </si>
  <si>
    <t xml:space="preserve">Total</t>
  </si>
  <si>
    <t xml:space="preserve">Rang de l'année</t>
  </si>
  <si>
    <t xml:space="preserve">Facteur de montée en charge</t>
  </si>
  <si>
    <t xml:space="preserve">Économies de masse salariale</t>
  </si>
  <si>
    <t xml:space="preserve">Économies déclarées récurrentes (dès l'année 2)</t>
  </si>
  <si>
    <t xml:space="preserve">Investissement évité (ponctuel)</t>
  </si>
  <si>
    <t xml:space="preserve">Total des gains budgétaires</t>
  </si>
  <si>
    <t xml:space="preserve">Coût du projet</t>
  </si>
  <si>
    <t xml:space="preserve">Cumul net budgétaire</t>
  </si>
  <si>
    <t xml:space="preserve">Total des gains élargis</t>
  </si>
  <si>
    <t xml:space="preserve">Référence mutualisée : gains élargis</t>
  </si>
  <si>
    <t xml:space="preserve">Référence mutualisée : coût</t>
  </si>
  <si>
    <t xml:space="preserve">Année où le cumul net devient positif</t>
  </si>
  <si>
    <t xml:space="preserve">Indicateurs de décision</t>
  </si>
  <si>
    <t xml:space="preserve">ROI budgétaire (au sens FTAP)</t>
  </si>
  <si>
    <t xml:space="preserve">Gains budgétaires cumulés / coût cumulé sur l'horizon. Cible historique du FTAP : au moins 1.</t>
  </si>
  <si>
    <t xml:space="preserve">ROI élargi (MAREVA : + capacité redéployée + usagers)</t>
  </si>
  <si>
    <t xml:space="preserve">Valeur non budgétaire incluse, à présenter séparément du ROI budgétaire.</t>
  </si>
  <si>
    <t xml:space="preserve">Gain budgétaire par dossier basculé (régime)</t>
  </si>
  <si>
    <t xml:space="preserve">Seuil de volume : dossiers par an pour un ROI budgétaire de 1</t>
  </si>
  <si>
    <t xml:space="preserve">Volume annuel de dossiers déposés à partir duquel les gains budgétaires couvrent le coût. À comparer au volume déclaré.</t>
  </si>
  <si>
    <t xml:space="preserve">Coût du projet par dossier sur l'horizon</t>
  </si>
  <si>
    <t xml:space="preserve">Gain élargi différentiel par rapport à la référence mutualisée</t>
  </si>
  <si>
    <t xml:space="preserve">Ce que le projet apporte de plus qu'un paramétrage de la solution mutualisée.</t>
  </si>
  <si>
    <t xml:space="preserve">Surcoût par rapport à la référence mutualisée</t>
  </si>
  <si>
    <t xml:space="preserve">Rendement du surcoût (gain différentiel / surcoût)</t>
  </si>
  <si>
    <t xml:space="preserve">Inférieur à 1 : le surcoût n'est pas couvert par ce qu'il apporte en plus.</t>
  </si>
  <si>
    <t xml:space="preserve">Taux de factualisation des gains budgétaires</t>
  </si>
  <si>
    <t xml:space="preserve">Part des gains reposant sur un calcul (volume × écart, pondéré à 50 % si le volume est seulement estimé) ou sur une pièce justificative.</t>
  </si>
  <si>
    <t xml:space="preserve">Contrôles de plausibilité</t>
  </si>
  <si>
    <t xml:space="preserve">Heures de traitement nécessaires au départ (calculées)</t>
  </si>
  <si>
    <t xml:space="preserve">Heures disponibles déclarées</t>
  </si>
  <si>
    <t xml:space="preserve">Ratio besoin calculé / effectif déclaré</t>
  </si>
  <si>
    <t xml:space="preserve">Proche de 1 : cohérent. Très inférieur : temps de départ sous-estimés ou effectif surdéclaré. Très supérieur : l'inverse.</t>
  </si>
</sst>
</file>

<file path=xl/styles.xml><?xml version="1.0" encoding="utf-8"?>
<styleSheet xmlns="http://schemas.openxmlformats.org/spreadsheetml/2006/main">
  <numFmts count="11">
    <numFmt numFmtId="164" formatCode="General"/>
    <numFmt numFmtId="165" formatCode="0.0&quot; min&quot;;\-0.0&quot; min&quot;;\-"/>
    <numFmt numFmtId="166" formatCode="0.0&quot; j&quot;"/>
    <numFmt numFmtId="167" formatCode="#,##0;\-#,##0;\-"/>
    <numFmt numFmtId="168" formatCode="0.00;\-0.00;\-"/>
    <numFmt numFmtId="169" formatCode="#,##0&quot; €&quot;;\-#,##0&quot; €&quot;;\-"/>
    <numFmt numFmtId="170" formatCode="0.00\x;\-0.00\x;\-"/>
    <numFmt numFmtId="171" formatCode="0"/>
    <numFmt numFmtId="172" formatCode="0%;\-0%;\-"/>
    <numFmt numFmtId="173" formatCode="#,##0.00&quot; €&quot;;\-#,##0.00&quot; €&quot;;\-"/>
    <numFmt numFmtId="174" formatCode="0.0"/>
  </numFmts>
  <fonts count="12">
    <font>
      <sz val="11"/>
      <color theme="1"/>
      <name val="Calibri"/>
      <family val="2"/>
      <charset val="1"/>
    </font>
    <font>
      <sz val="10"/>
      <name val="Arial"/>
      <family val="0"/>
    </font>
    <font>
      <sz val="10"/>
      <name val="Arial"/>
      <family val="0"/>
    </font>
    <font>
      <sz val="10"/>
      <name val="Arial"/>
      <family val="0"/>
    </font>
    <font>
      <sz val="11"/>
      <color theme="1"/>
      <name val="Arial"/>
      <family val="0"/>
      <charset val="1"/>
    </font>
    <font>
      <b val="true"/>
      <sz val="14"/>
      <color rgb="FF1E2022"/>
      <name val="Arial"/>
      <family val="0"/>
      <charset val="1"/>
    </font>
    <font>
      <i val="true"/>
      <sz val="9"/>
      <color rgb="FF5C6066"/>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8000"/>
      <name val="Arial"/>
      <family val="0"/>
      <charset val="1"/>
    </font>
    <font>
      <sz val="11"/>
      <color rgb="FF0000FF"/>
      <name val="Arial"/>
      <family val="0"/>
      <charset val="1"/>
    </font>
  </fonts>
  <fills count="5">
    <fill>
      <patternFill patternType="none"/>
    </fill>
    <fill>
      <patternFill patternType="gray125"/>
    </fill>
    <fill>
      <patternFill patternType="solid">
        <fgColor rgb="FF0E7490"/>
        <bgColor rgb="FF008080"/>
      </patternFill>
    </fill>
    <fill>
      <patternFill patternType="solid">
        <fgColor rgb="FFECFEFF"/>
        <bgColor rgb="FFFFFFFF"/>
      </patternFill>
    </fill>
    <fill>
      <patternFill patternType="solid">
        <fgColor rgb="FFFFF2CC"/>
        <bgColor rgb="FFFFFFFF"/>
      </patternFill>
    </fill>
  </fills>
  <borders count="2">
    <border diagonalUp="false" diagonalDown="false">
      <left/>
      <right/>
      <top/>
      <bottom/>
      <diagonal/>
    </border>
    <border diagonalUp="false" diagonalDown="false">
      <left style="thin">
        <color rgb="FFE2DFD7"/>
      </left>
      <right style="thin">
        <color rgb="FFE2DFD7"/>
      </right>
      <top style="thin">
        <color rgb="FFE2DFD7"/>
      </top>
      <bottom style="thin">
        <color rgb="FFE2DFD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xf numFmtId="170" fontId="10" fillId="0" borderId="1" xfId="0" applyFont="true" applyBorder="true" applyAlignment="false" applyProtection="false">
      <alignment horizontal="general" vertical="bottom" textRotation="0" wrapText="false" indent="0" shrinkToFit="false"/>
      <protection locked="true" hidden="false"/>
    </xf>
    <xf numFmtId="171" fontId="10" fillId="0" borderId="1" xfId="0" applyFont="true" applyBorder="true" applyAlignment="false" applyProtection="false">
      <alignment horizontal="general" vertical="bottom" textRotation="0" wrapText="false" indent="0" shrinkToFit="false"/>
      <protection locked="true" hidden="false"/>
    </xf>
    <xf numFmtId="172" fontId="10"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7" fontId="11" fillId="4" borderId="1" xfId="0" applyFont="true" applyBorder="true" applyAlignment="false" applyProtection="false">
      <alignment horizontal="general" vertical="bottom" textRotation="0" wrapText="false" indent="0" shrinkToFit="false"/>
      <protection locked="true" hidden="false"/>
    </xf>
    <xf numFmtId="172" fontId="11" fillId="4" borderId="1" xfId="0" applyFont="true" applyBorder="true" applyAlignment="false" applyProtection="false">
      <alignment horizontal="general" vertical="bottom" textRotation="0" wrapText="false" indent="0" shrinkToFit="false"/>
      <protection locked="true" hidden="false"/>
    </xf>
    <xf numFmtId="168" fontId="11" fillId="4" borderId="1" xfId="0" applyFont="true" applyBorder="true" applyAlignment="false" applyProtection="false">
      <alignment horizontal="general" vertical="bottom" textRotation="0" wrapText="false" indent="0" shrinkToFit="false"/>
      <protection locked="true" hidden="false"/>
    </xf>
    <xf numFmtId="172" fontId="8" fillId="0" borderId="1" xfId="0" applyFont="true" applyBorder="true" applyAlignment="false" applyProtection="false">
      <alignment horizontal="general" vertical="bottom" textRotation="0" wrapText="false" indent="0" shrinkToFit="false"/>
      <protection locked="true" hidden="false"/>
    </xf>
    <xf numFmtId="169" fontId="11" fillId="4" borderId="1" xfId="0" applyFont="true" applyBorder="true" applyAlignment="false" applyProtection="false">
      <alignment horizontal="general" vertical="bottom" textRotation="0" wrapText="false" indent="0" shrinkToFit="false"/>
      <protection locked="true" hidden="false"/>
    </xf>
    <xf numFmtId="171" fontId="11" fillId="4"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73" fontId="11" fillId="4" borderId="1" xfId="0" applyFont="true" applyBorder="true" applyAlignment="false" applyProtection="false">
      <alignment horizontal="general" vertical="bottom" textRotation="0" wrapText="false" indent="0" shrinkToFit="false"/>
      <protection locked="true" hidden="false"/>
    </xf>
    <xf numFmtId="174" fontId="11" fillId="4" borderId="1" xfId="0" applyFont="true" applyBorder="tru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73" fontId="8"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74" fontId="8" fillId="0" borderId="1" xfId="0" applyFont="true" applyBorder="true" applyAlignment="true" applyProtection="false">
      <alignment horizontal="center" vertical="bottom" textRotation="0" wrapText="false" indent="0" shrinkToFit="false"/>
      <protection locked="true" hidden="false"/>
    </xf>
    <xf numFmtId="169" fontId="8" fillId="0" borderId="1" xfId="0" applyFont="true" applyBorder="true" applyAlignment="true" applyProtection="false">
      <alignment horizontal="center"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490"/>
      <rgbColor rgb="FFC0C0C0"/>
      <rgbColor rgb="FF808080"/>
      <rgbColor rgb="FF9999FF"/>
      <rgbColor rgb="FF993366"/>
      <rgbColor rgb="FFFFF2CC"/>
      <rgbColor rgb="FFECFEFF"/>
      <rgbColor rgb="FF660066"/>
      <rgbColor rgb="FFFF8080"/>
      <rgbColor rgb="FF0066CC"/>
      <rgbColor rgb="FFE2DFD7"/>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C6066"/>
      <rgbColor rgb="FF969696"/>
      <rgbColor rgb="FF003366"/>
      <rgbColor rgb="FF339966"/>
      <rgbColor rgb="FF003300"/>
      <rgbColor rgb="FF333300"/>
      <rgbColor rgb="FF993300"/>
      <rgbColor rgb="FF993366"/>
      <rgbColor rgb="FF333399"/>
      <rgbColor rgb="FF1E20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1" customFormat="false" ht="17.35" hidden="false" customHeight="false" outlineLevel="0" collapsed="false">
      <c r="A1" s="1"/>
      <c r="B1" s="2" t="s">
        <v>0</v>
      </c>
    </row>
    <row r="2" customFormat="false" ht="15" hidden="false" customHeight="false" outlineLevel="0" collapsed="false">
      <c r="A2" s="1"/>
      <c r="B2" s="3" t="s">
        <v>1</v>
      </c>
    </row>
    <row r="3" customFormat="false" ht="15" hidden="false" customHeight="false" outlineLevel="0" collapsed="false">
      <c r="A3" s="1"/>
      <c r="B3" s="4"/>
    </row>
    <row r="4" customFormat="false" ht="15" hidden="false" customHeight="false" outlineLevel="0" collapsed="false">
      <c r="A4" s="1"/>
      <c r="B4" s="5" t="s">
        <v>2</v>
      </c>
    </row>
    <row r="5" customFormat="false" ht="39.55" hidden="false" customHeight="false" outlineLevel="0" collapsed="false">
      <c r="A5" s="1"/>
      <c r="B5" s="6" t="s">
        <v>3</v>
      </c>
    </row>
    <row r="6" customFormat="false" ht="39.55" hidden="false" customHeight="false" outlineLevel="0" collapsed="false">
      <c r="A6" s="1"/>
      <c r="B6" s="6" t="s">
        <v>4</v>
      </c>
    </row>
    <row r="7" customFormat="false" ht="15" hidden="false" customHeight="false" outlineLevel="0" collapsed="false">
      <c r="A7" s="1"/>
      <c r="B7" s="4"/>
    </row>
    <row r="8" customFormat="false" ht="15" hidden="false" customHeight="false" outlineLevel="0" collapsed="false">
      <c r="A8" s="1"/>
      <c r="B8" s="5" t="s">
        <v>5</v>
      </c>
    </row>
    <row r="9" customFormat="false" ht="26.85" hidden="false" customHeight="false" outlineLevel="0" collapsed="false">
      <c r="A9" s="1"/>
      <c r="B9" s="6" t="s">
        <v>6</v>
      </c>
    </row>
    <row r="10" customFormat="false" ht="26.85" hidden="false" customHeight="false" outlineLevel="0" collapsed="false">
      <c r="A10" s="1"/>
      <c r="B10" s="6" t="s">
        <v>7</v>
      </c>
    </row>
    <row r="11" customFormat="false" ht="26.85" hidden="false" customHeight="false" outlineLevel="0" collapsed="false">
      <c r="A11" s="1"/>
      <c r="B11" s="6" t="s">
        <v>8</v>
      </c>
    </row>
    <row r="12" customFormat="false" ht="26.85" hidden="false" customHeight="false" outlineLevel="0" collapsed="false">
      <c r="A12" s="1"/>
      <c r="B12" s="6" t="s">
        <v>9</v>
      </c>
    </row>
    <row r="13" customFormat="false" ht="26.85" hidden="false" customHeight="false" outlineLevel="0" collapsed="false">
      <c r="A13" s="1"/>
      <c r="B13" s="6" t="s">
        <v>10</v>
      </c>
    </row>
    <row r="14" customFormat="false" ht="15" hidden="false" customHeight="false" outlineLevel="0" collapsed="false">
      <c r="A14" s="1"/>
      <c r="B14" s="4"/>
    </row>
    <row r="15" customFormat="false" ht="15" hidden="false" customHeight="false" outlineLevel="0" collapsed="false">
      <c r="A15" s="1"/>
      <c r="B15" s="5" t="s">
        <v>11</v>
      </c>
    </row>
    <row r="16" customFormat="false" ht="15" hidden="false" customHeight="false" outlineLevel="0" collapsed="false">
      <c r="A16" s="1"/>
      <c r="B16" s="6" t="s">
        <v>12</v>
      </c>
    </row>
    <row r="17" customFormat="false" ht="15" hidden="false" customHeight="false" outlineLevel="0" collapsed="false">
      <c r="A17" s="1"/>
      <c r="B17" s="6" t="s">
        <v>13</v>
      </c>
    </row>
    <row r="18" customFormat="false" ht="15" hidden="false" customHeight="false" outlineLevel="0" collapsed="false">
      <c r="A18" s="1"/>
      <c r="B18" s="6" t="s">
        <v>14</v>
      </c>
    </row>
    <row r="19" customFormat="false" ht="15" hidden="false" customHeight="false" outlineLevel="0" collapsed="false">
      <c r="A19" s="1"/>
      <c r="B19" s="6" t="s">
        <v>15</v>
      </c>
    </row>
    <row r="20" customFormat="false" ht="15" hidden="false" customHeight="false" outlineLevel="0" collapsed="false">
      <c r="A20" s="1"/>
      <c r="B20" s="6" t="s">
        <v>16</v>
      </c>
    </row>
    <row r="21" customFormat="false" ht="15" hidden="false" customHeight="false" outlineLevel="0" collapsed="false">
      <c r="A21" s="1"/>
      <c r="B21" s="6" t="s">
        <v>17</v>
      </c>
    </row>
    <row r="22" customFormat="false" ht="15" hidden="false" customHeight="false" outlineLevel="0" collapsed="false">
      <c r="A22" s="1"/>
      <c r="B22" s="6" t="s">
        <v>18</v>
      </c>
    </row>
    <row r="23" customFormat="false" ht="15" hidden="false" customHeight="false" outlineLevel="0" collapsed="false">
      <c r="A23" s="1"/>
      <c r="B23" s="6" t="s">
        <v>19</v>
      </c>
    </row>
    <row r="24" customFormat="false" ht="15" hidden="false" customHeight="false" outlineLevel="0" collapsed="false">
      <c r="A24" s="1"/>
      <c r="B24" s="6" t="s">
        <v>20</v>
      </c>
    </row>
    <row r="25" customFormat="false" ht="15" hidden="false" customHeight="false" outlineLevel="0" collapsed="false">
      <c r="A25" s="1"/>
      <c r="B25" s="6" t="s">
        <v>21</v>
      </c>
    </row>
    <row r="26" customFormat="false" ht="15" hidden="false" customHeight="false" outlineLevel="0" collapsed="false">
      <c r="A26" s="1"/>
      <c r="B26" s="4"/>
    </row>
    <row r="27" customFormat="false" ht="15" hidden="false" customHeight="false" outlineLevel="0" collapsed="false">
      <c r="A27" s="1"/>
      <c r="B27" s="5" t="s">
        <v>22</v>
      </c>
    </row>
    <row r="28" customFormat="false" ht="52.2" hidden="false" customHeight="false" outlineLevel="0" collapsed="false">
      <c r="A28" s="1"/>
      <c r="B28" s="6" t="s">
        <v>23</v>
      </c>
    </row>
    <row r="29" customFormat="false" ht="26.85" hidden="false" customHeight="false" outlineLevel="0" collapsed="false">
      <c r="A29" s="1"/>
      <c r="B29" s="6" t="s">
        <v>24</v>
      </c>
    </row>
    <row r="30" customFormat="false" ht="52.2" hidden="false" customHeight="false" outlineLevel="0" collapsed="false">
      <c r="A30" s="1"/>
      <c r="B30" s="6" t="s">
        <v>25</v>
      </c>
    </row>
    <row r="31" customFormat="false" ht="26.85" hidden="false" customHeight="false" outlineLevel="0" collapsed="false">
      <c r="A31" s="1"/>
      <c r="B31" s="6" t="s">
        <v>26</v>
      </c>
    </row>
    <row r="32" customFormat="false" ht="15" hidden="false" customHeight="false" outlineLevel="0" collapsed="false">
      <c r="A32" s="1"/>
      <c r="B32" s="4"/>
    </row>
    <row r="33" customFormat="false" ht="15" hidden="false" customHeight="false" outlineLevel="0" collapsed="false">
      <c r="A33" s="1"/>
      <c r="B33" s="5" t="s">
        <v>27</v>
      </c>
    </row>
    <row r="34" customFormat="false" ht="39.55" hidden="false" customHeight="false" outlineLevel="0" collapsed="false">
      <c r="A34" s="1"/>
      <c r="B34" s="6" t="s">
        <v>28</v>
      </c>
    </row>
    <row r="35" customFormat="false" ht="15" hidden="false" customHeight="false" outlineLevel="0" collapsed="false">
      <c r="A35" s="1"/>
      <c r="B35" s="6"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6"/>
    <col collapsed="false" customWidth="true" hidden="false" outlineLevel="0" max="4" min="3" style="0" width="22"/>
  </cols>
  <sheetData>
    <row r="1" customFormat="false" ht="17.35" hidden="false" customHeight="false" outlineLevel="0" collapsed="false">
      <c r="A1" s="1"/>
      <c r="B1" s="7" t="str">
        <f aca="false">p_nom</f>
        <v>Dématérialisation de la demande d'autorisation X (exemple)</v>
      </c>
      <c r="C1" s="1"/>
      <c r="D1" s="1"/>
    </row>
    <row r="2" customFormat="false" ht="15" hidden="false" customHeight="false" outlineLevel="0" collapsed="false">
      <c r="A2" s="1"/>
      <c r="B2" s="8" t="str">
        <f aca="false">p_min&amp;" · départ "&amp;dep_C&amp;"/"&amp;dep_T&amp;" → cible "&amp;cib_C&amp;"/"&amp;cib_T&amp;" · scénario "&amp;scenario&amp;" · horizon "&amp;horizon&amp;" ans"</f>
        <v>Ministère Y · départ C2/T1 → cible C4/T3 · scénario centrale · horizon 5 ans</v>
      </c>
      <c r="C2" s="1"/>
      <c r="D2" s="1"/>
    </row>
    <row r="3" customFormat="false" ht="15" hidden="false" customHeight="false" outlineLevel="0" collapsed="false">
      <c r="A3" s="1"/>
      <c r="B3" s="1"/>
      <c r="C3" s="1"/>
      <c r="D3" s="1"/>
    </row>
    <row r="4" customFormat="false" ht="15" hidden="false" customHeight="false" outlineLevel="0" collapsed="false">
      <c r="A4" s="1"/>
      <c r="B4" s="1"/>
      <c r="C4" s="1"/>
      <c r="D4" s="1"/>
    </row>
    <row r="5" customFormat="false" ht="15" hidden="false" customHeight="false" outlineLevel="0" collapsed="false">
      <c r="A5" s="1"/>
      <c r="B5" s="9" t="s">
        <v>30</v>
      </c>
      <c r="C5" s="9" t="s">
        <v>31</v>
      </c>
      <c r="D5" s="9" t="s">
        <v>32</v>
      </c>
    </row>
    <row r="6" customFormat="false" ht="15" hidden="false" customHeight="false" outlineLevel="0" collapsed="false">
      <c r="A6" s="1"/>
      <c r="B6" s="10" t="s">
        <v>33</v>
      </c>
      <c r="C6" s="11" t="n">
        <f aca="false">dep_tA</f>
        <v>21.6</v>
      </c>
      <c r="D6" s="11" t="n">
        <f aca="false">cib_tA</f>
        <v>2.22</v>
      </c>
    </row>
    <row r="7" customFormat="false" ht="15" hidden="false" customHeight="false" outlineLevel="0" collapsed="false">
      <c r="A7" s="1"/>
      <c r="B7" s="10" t="s">
        <v>34</v>
      </c>
      <c r="C7" s="11" t="n">
        <f aca="false">dep_tU</f>
        <v>33</v>
      </c>
      <c r="D7" s="11" t="n">
        <f aca="false">cib_tU</f>
        <v>17.9</v>
      </c>
    </row>
    <row r="8" customFormat="false" ht="15" hidden="false" customHeight="false" outlineLevel="0" collapsed="false">
      <c r="A8" s="1"/>
      <c r="B8" s="10" t="s">
        <v>35</v>
      </c>
      <c r="C8" s="12" t="n">
        <f aca="false">dep_delai</f>
        <v>13.8</v>
      </c>
      <c r="D8" s="12" t="n">
        <f aca="false">cib_delai</f>
        <v>2.8</v>
      </c>
    </row>
    <row r="9" customFormat="false" ht="15" hidden="false" customHeight="false" outlineLevel="0" collapsed="false">
      <c r="A9" s="1"/>
      <c r="B9" s="1"/>
      <c r="C9" s="1"/>
      <c r="D9" s="1"/>
    </row>
    <row r="10" customFormat="false" ht="15" hidden="false" customHeight="false" outlineLevel="0" collapsed="false">
      <c r="A10" s="1"/>
      <c r="B10" s="9" t="s">
        <v>36</v>
      </c>
      <c r="C10" s="9" t="s">
        <v>37</v>
      </c>
      <c r="D10" s="9"/>
    </row>
    <row r="11" customFormat="false" ht="15" hidden="false" customHeight="false" outlineLevel="0" collapsed="false">
      <c r="A11" s="1"/>
      <c r="B11" s="10" t="s">
        <v>38</v>
      </c>
      <c r="C11" s="13" t="n">
        <f aca="false">nB_p</f>
        <v>32000</v>
      </c>
      <c r="D11" s="1"/>
    </row>
    <row r="12" customFormat="false" ht="15" hidden="false" customHeight="false" outlineLevel="0" collapsed="false">
      <c r="A12" s="1"/>
      <c r="B12" s="10" t="s">
        <v>39</v>
      </c>
      <c r="C12" s="14" t="n">
        <f aca="false">etpL_p</f>
        <v>6.43186060983199</v>
      </c>
      <c r="D12" s="1"/>
    </row>
    <row r="13" customFormat="false" ht="15" hidden="false" customHeight="false" outlineLevel="0" collapsed="false">
      <c r="A13" s="1"/>
      <c r="B13" s="10" t="s">
        <v>40</v>
      </c>
      <c r="C13" s="14" t="n">
        <f aca="false">etpS_p</f>
        <v>2.2511512134412</v>
      </c>
      <c r="D13" s="1"/>
    </row>
    <row r="14" customFormat="false" ht="15" hidden="false" customHeight="false" outlineLevel="0" collapsed="false">
      <c r="A14" s="1"/>
      <c r="B14" s="15" t="s">
        <v>41</v>
      </c>
      <c r="C14" s="16" t="n">
        <f aca="false">ftap_direct</f>
        <v>171089.533291848</v>
      </c>
      <c r="D14" s="1"/>
    </row>
    <row r="15" customFormat="false" ht="15" hidden="false" customHeight="false" outlineLevel="0" collapsed="false">
      <c r="A15" s="1"/>
      <c r="B15" s="10" t="s">
        <v>42</v>
      </c>
      <c r="C15" s="16" t="n">
        <f aca="false">ftap_ind</f>
        <v>15000</v>
      </c>
      <c r="D15" s="1"/>
    </row>
    <row r="16" customFormat="false" ht="15" hidden="false" customHeight="false" outlineLevel="0" collapsed="false">
      <c r="A16" s="1"/>
      <c r="B16" s="10" t="s">
        <v>43</v>
      </c>
      <c r="C16" s="16" t="n">
        <f aca="false">vR_p</f>
        <v>252514.847542004</v>
      </c>
      <c r="D16" s="1"/>
    </row>
    <row r="17" customFormat="false" ht="15" hidden="false" customHeight="false" outlineLevel="0" collapsed="false">
      <c r="A17" s="1"/>
      <c r="B17" s="10" t="s">
        <v>44</v>
      </c>
      <c r="C17" s="16" t="n">
        <f aca="false">vU_p</f>
        <v>269577.28</v>
      </c>
      <c r="D17" s="1"/>
    </row>
    <row r="18" customFormat="false" ht="15" hidden="false" customHeight="false" outlineLevel="0" collapsed="false">
      <c r="A18" s="1"/>
      <c r="B18" s="1"/>
      <c r="C18" s="1"/>
      <c r="D18" s="1"/>
    </row>
    <row r="19" customFormat="false" ht="15" hidden="false" customHeight="false" outlineLevel="0" collapsed="false">
      <c r="A19" s="1"/>
      <c r="B19" s="9" t="s">
        <v>45</v>
      </c>
      <c r="C19" s="9" t="s">
        <v>37</v>
      </c>
      <c r="D19" s="9"/>
    </row>
    <row r="20" customFormat="false" ht="15" hidden="false" customHeight="false" outlineLevel="0" collapsed="false">
      <c r="A20" s="1"/>
      <c r="B20" s="15" t="s">
        <v>46</v>
      </c>
      <c r="C20" s="17" t="n">
        <f aca="false">roi_b</f>
        <v>1.08653719975109</v>
      </c>
      <c r="D20" s="1"/>
    </row>
    <row r="21" customFormat="false" ht="15" hidden="false" customHeight="false" outlineLevel="0" collapsed="false">
      <c r="A21" s="1"/>
      <c r="B21" s="10" t="s">
        <v>47</v>
      </c>
      <c r="C21" s="17" t="n">
        <f aca="false">roi_e</f>
        <v>4.21908996500311</v>
      </c>
      <c r="D21" s="1"/>
    </row>
    <row r="22" customFormat="false" ht="15" hidden="false" customHeight="false" outlineLevel="0" collapsed="false">
      <c r="A22" s="1"/>
      <c r="B22" s="10" t="s">
        <v>48</v>
      </c>
      <c r="C22" s="18" t="n">
        <f aca="false">payback</f>
        <v>5</v>
      </c>
      <c r="D22" s="1"/>
    </row>
    <row r="23" customFormat="false" ht="15" hidden="false" customHeight="false" outlineLevel="0" collapsed="false">
      <c r="A23" s="1"/>
      <c r="B23" s="10" t="s">
        <v>49</v>
      </c>
      <c r="C23" s="13" t="n">
        <f aca="false">seuil</f>
        <v>35911.0030946527</v>
      </c>
      <c r="D23" s="1"/>
    </row>
    <row r="24" customFormat="false" ht="15" hidden="false" customHeight="false" outlineLevel="0" collapsed="false">
      <c r="A24" s="1"/>
      <c r="B24" s="10" t="s">
        <v>50</v>
      </c>
      <c r="C24" s="13" t="n">
        <f aca="false">dossiers</f>
        <v>40000</v>
      </c>
      <c r="D24" s="1"/>
    </row>
    <row r="25" customFormat="false" ht="15" hidden="false" customHeight="false" outlineLevel="0" collapsed="false">
      <c r="A25" s="1"/>
      <c r="B25" s="10" t="s">
        <v>51</v>
      </c>
      <c r="C25" s="17" t="n">
        <f aca="false">diff_roi</f>
        <v>0.753208139049194</v>
      </c>
      <c r="D25" s="1"/>
    </row>
    <row r="26" customFormat="false" ht="15" hidden="false" customHeight="false" outlineLevel="0" collapsed="false">
      <c r="A26" s="1"/>
      <c r="B26" s="15" t="s">
        <v>52</v>
      </c>
      <c r="C26" s="19" t="n">
        <f aca="false">factu</f>
        <v>0.540303180234418</v>
      </c>
      <c r="D26" s="1"/>
    </row>
    <row r="27" customFormat="false" ht="15" hidden="false" customHeight="false" outlineLevel="0" collapsed="false">
      <c r="A27" s="1"/>
      <c r="B27" s="1"/>
      <c r="C27" s="1"/>
      <c r="D27" s="1"/>
    </row>
    <row r="28" customFormat="false" ht="15" hidden="false" customHeight="false" outlineLevel="0" collapsed="false">
      <c r="A28" s="1"/>
      <c r="B28" s="20" t="s">
        <v>53</v>
      </c>
      <c r="C28" s="1"/>
      <c r="D28" s="1"/>
    </row>
    <row r="29" customFormat="false" ht="15" hidden="false" customHeight="false" outlineLevel="0" collapsed="false">
      <c r="A29" s="1"/>
      <c r="B29" s="21" t="str">
        <f aca="false">al1</f>
        <v>✓ Effectif et volume cohérents</v>
      </c>
      <c r="C29" s="21"/>
      <c r="D29" s="21"/>
    </row>
    <row r="30" customFormat="false" ht="15" hidden="false" customHeight="false" outlineLevel="0" collapsed="false">
      <c r="A30" s="1"/>
      <c r="B30" s="21" t="str">
        <f aca="false">al2</f>
        <v>✓ ETP libérés compatibles avec l'effectif</v>
      </c>
      <c r="C30" s="21"/>
      <c r="D30" s="21"/>
    </row>
    <row r="31" customFormat="false" ht="15" hidden="false" customHeight="false" outlineLevel="0" collapsed="false">
      <c r="A31" s="1"/>
      <c r="B31" s="21" t="str">
        <f aca="false">al3</f>
        <v>✓ Écart départ / cible établi</v>
      </c>
      <c r="C31" s="21"/>
      <c r="D31" s="21"/>
    </row>
    <row r="32" customFormat="false" ht="15" hidden="false" customHeight="false" outlineLevel="0" collapsed="false">
      <c r="A32" s="1"/>
      <c r="B32" s="21" t="str">
        <f aca="false">al4</f>
        <v>✓ Coût de fonctionnement renseigné</v>
      </c>
      <c r="C32" s="21"/>
      <c r="D32" s="21"/>
    </row>
    <row r="33" customFormat="false" ht="15" hidden="false" customHeight="false" outlineLevel="0" collapsed="false">
      <c r="A33" s="1"/>
      <c r="B33" s="21" t="str">
        <f aca="false">al5</f>
        <v>⚠ Le surcoût par rapport à la solution mutualisée n'est pas couvert par le gain supplémentaire</v>
      </c>
      <c r="C33" s="21"/>
      <c r="D33" s="21"/>
    </row>
    <row r="34" customFormat="false" ht="15" hidden="false" customHeight="false" outlineLevel="0" collapsed="false">
      <c r="A34" s="1"/>
      <c r="B34" s="21" t="str">
        <f aca="false">al6</f>
        <v>✓ Gains majoritairement factualisés</v>
      </c>
      <c r="C34" s="21"/>
      <c r="D34" s="21"/>
    </row>
    <row r="35" customFormat="false" ht="15" hidden="false" customHeight="false" outlineLevel="0" collapsed="false">
      <c r="A35" s="1"/>
      <c r="B35" s="21" t="str">
        <f aca="false">al7</f>
        <v>✓ Répartition par catégorie complète</v>
      </c>
      <c r="C35" s="21"/>
      <c r="D35" s="21"/>
    </row>
    <row r="36" customFormat="false" ht="15" hidden="false" customHeight="false" outlineLevel="0" collapsed="false">
      <c r="A36" s="1"/>
      <c r="B36" s="21" t="str">
        <f aca="false">al8</f>
        <v>ℹ Niveau de départ à justifier par la répartition des dossiers par canal</v>
      </c>
      <c r="C36" s="21"/>
      <c r="D36" s="21"/>
    </row>
    <row r="37" customFormat="false" ht="15" hidden="false" customHeight="false" outlineLevel="0" collapsed="false">
      <c r="A37" s="1"/>
      <c r="B37" s="1"/>
      <c r="C37" s="1"/>
      <c r="D37" s="1"/>
    </row>
    <row r="38" customFormat="false" ht="15" hidden="false" customHeight="false" outlineLevel="0" collapsed="false">
      <c r="A38" s="1"/>
      <c r="B38" s="8" t="s">
        <v>54</v>
      </c>
      <c r="C38" s="1"/>
      <c r="D38" s="1"/>
    </row>
  </sheetData>
  <mergeCells count="8">
    <mergeCell ref="B29:D29"/>
    <mergeCell ref="B30:D30"/>
    <mergeCell ref="B31:D31"/>
    <mergeCell ref="B32:D32"/>
    <mergeCell ref="B33:D33"/>
    <mergeCell ref="B34:D34"/>
    <mergeCell ref="B35:D35"/>
    <mergeCell ref="B36:D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2"/>
    <col collapsed="false" customWidth="true" hidden="false" outlineLevel="0" max="3" min="3" style="0" width="22"/>
    <col collapsed="false" customWidth="true" hidden="false" outlineLevel="0" max="4" min="4" style="0" width="16"/>
    <col collapsed="false" customWidth="true" hidden="false" outlineLevel="0" max="5" min="5" style="0" width="14"/>
    <col collapsed="false" customWidth="true" hidden="false" outlineLevel="0" max="6" min="6" style="0" width="60"/>
  </cols>
  <sheetData>
    <row r="1" customFormat="false" ht="17.35" hidden="false" customHeight="false" outlineLevel="0" collapsed="false">
      <c r="A1" s="1"/>
      <c r="B1" s="7" t="s">
        <v>55</v>
      </c>
      <c r="C1" s="1"/>
      <c r="D1" s="1"/>
      <c r="E1" s="1"/>
      <c r="F1" s="1"/>
    </row>
    <row r="2" customFormat="false" ht="15" hidden="false" customHeight="false" outlineLevel="0" collapsed="false">
      <c r="A2" s="1"/>
      <c r="B2" s="8" t="s">
        <v>56</v>
      </c>
      <c r="C2" s="1"/>
      <c r="D2" s="1"/>
      <c r="E2" s="1"/>
      <c r="F2" s="1"/>
    </row>
    <row r="3" customFormat="false" ht="15" hidden="false" customHeight="false" outlineLevel="0" collapsed="false">
      <c r="A3" s="1"/>
      <c r="B3" s="1"/>
      <c r="C3" s="1"/>
      <c r="D3" s="1"/>
      <c r="E3" s="1"/>
      <c r="F3" s="1"/>
    </row>
    <row r="4" customFormat="false" ht="15" hidden="false" customHeight="false" outlineLevel="0" collapsed="false">
      <c r="A4" s="1"/>
      <c r="B4" s="22" t="s">
        <v>57</v>
      </c>
      <c r="C4" s="23"/>
      <c r="D4" s="23"/>
      <c r="E4" s="1"/>
      <c r="F4" s="23"/>
    </row>
    <row r="5" customFormat="false" ht="15" hidden="false" customHeight="false" outlineLevel="0" collapsed="false">
      <c r="A5" s="1"/>
      <c r="B5" s="10" t="s">
        <v>58</v>
      </c>
      <c r="C5" s="24" t="s">
        <v>59</v>
      </c>
      <c r="D5" s="1"/>
      <c r="E5" s="1"/>
      <c r="F5" s="4"/>
    </row>
    <row r="6" customFormat="false" ht="15" hidden="false" customHeight="false" outlineLevel="0" collapsed="false">
      <c r="A6" s="1"/>
      <c r="B6" s="10" t="s">
        <v>60</v>
      </c>
      <c r="C6" s="24" t="s">
        <v>61</v>
      </c>
      <c r="D6" s="1"/>
      <c r="E6" s="1"/>
      <c r="F6" s="4"/>
    </row>
    <row r="7" customFormat="false" ht="15" hidden="false" customHeight="false" outlineLevel="0" collapsed="false">
      <c r="A7" s="1"/>
      <c r="B7" s="1"/>
      <c r="C7" s="1"/>
      <c r="D7" s="1"/>
      <c r="E7" s="1"/>
      <c r="F7" s="1"/>
    </row>
    <row r="8" customFormat="false" ht="15" hidden="false" customHeight="false" outlineLevel="0" collapsed="false">
      <c r="A8" s="1"/>
      <c r="B8" s="22" t="s">
        <v>62</v>
      </c>
      <c r="C8" s="23"/>
      <c r="D8" s="23"/>
      <c r="E8" s="1"/>
      <c r="F8" s="23"/>
    </row>
    <row r="9" customFormat="false" ht="22.35" hidden="false" customHeight="false" outlineLevel="0" collapsed="false">
      <c r="A9" s="1"/>
      <c r="B9" s="10" t="s">
        <v>63</v>
      </c>
      <c r="C9" s="25" t="n">
        <v>40000</v>
      </c>
      <c r="D9" s="1"/>
      <c r="E9" s="1"/>
      <c r="F9" s="3" t="s">
        <v>64</v>
      </c>
    </row>
    <row r="10" customFormat="false" ht="22.35" hidden="false" customHeight="false" outlineLevel="0" collapsed="false">
      <c r="A10" s="1"/>
      <c r="B10" s="10" t="s">
        <v>65</v>
      </c>
      <c r="C10" s="24" t="s">
        <v>66</v>
      </c>
      <c r="D10" s="1"/>
      <c r="E10" s="1"/>
      <c r="F10" s="3" t="s">
        <v>67</v>
      </c>
    </row>
    <row r="11" customFormat="false" ht="15" hidden="false" customHeight="false" outlineLevel="0" collapsed="false">
      <c r="A11" s="1"/>
      <c r="B11" s="10" t="s">
        <v>68</v>
      </c>
      <c r="C11" s="26" t="n">
        <v>0.3</v>
      </c>
      <c r="D11" s="1"/>
      <c r="E11" s="1"/>
      <c r="F11" s="3" t="s">
        <v>69</v>
      </c>
    </row>
    <row r="12" customFormat="false" ht="22.35" hidden="false" customHeight="false" outlineLevel="0" collapsed="false">
      <c r="A12" s="1"/>
      <c r="B12" s="10" t="s">
        <v>70</v>
      </c>
      <c r="C12" s="25" t="n">
        <v>25</v>
      </c>
      <c r="D12" s="1"/>
      <c r="E12" s="1"/>
      <c r="F12" s="3" t="s">
        <v>71</v>
      </c>
    </row>
    <row r="13" customFormat="false" ht="15" hidden="false" customHeight="false" outlineLevel="0" collapsed="false">
      <c r="A13" s="1"/>
      <c r="B13" s="10" t="s">
        <v>72</v>
      </c>
      <c r="C13" s="25" t="n">
        <v>3</v>
      </c>
      <c r="D13" s="1"/>
      <c r="E13" s="1"/>
      <c r="F13" s="4"/>
    </row>
    <row r="14" customFormat="false" ht="15" hidden="false" customHeight="false" outlineLevel="0" collapsed="false">
      <c r="A14" s="1"/>
      <c r="B14" s="10" t="s">
        <v>73</v>
      </c>
      <c r="C14" s="25" t="n">
        <v>2</v>
      </c>
      <c r="D14" s="1"/>
      <c r="E14" s="1"/>
      <c r="F14" s="4"/>
    </row>
    <row r="15" customFormat="false" ht="22.35" hidden="false" customHeight="false" outlineLevel="0" collapsed="false">
      <c r="A15" s="1"/>
      <c r="B15" s="10" t="s">
        <v>74</v>
      </c>
      <c r="C15" s="27" t="n">
        <v>20</v>
      </c>
      <c r="D15" s="1"/>
      <c r="E15" s="1"/>
      <c r="F15" s="3" t="s">
        <v>75</v>
      </c>
    </row>
    <row r="16" customFormat="false" ht="15" hidden="false" customHeight="false" outlineLevel="0" collapsed="false">
      <c r="A16" s="1"/>
      <c r="B16" s="10" t="s">
        <v>76</v>
      </c>
      <c r="C16" s="25" t="n">
        <v>25</v>
      </c>
      <c r="D16" s="1"/>
      <c r="E16" s="1"/>
      <c r="F16" s="4"/>
    </row>
    <row r="17" customFormat="false" ht="15" hidden="false" customHeight="false" outlineLevel="0" collapsed="false">
      <c r="A17" s="1"/>
      <c r="B17" s="10" t="s">
        <v>77</v>
      </c>
      <c r="C17" s="26" t="n">
        <v>0.5</v>
      </c>
      <c r="D17" s="1"/>
      <c r="E17" s="1"/>
      <c r="F17" s="4"/>
    </row>
    <row r="18" customFormat="false" ht="15" hidden="false" customHeight="false" outlineLevel="0" collapsed="false">
      <c r="A18" s="1"/>
      <c r="B18" s="10" t="s">
        <v>78</v>
      </c>
      <c r="C18" s="24" t="s">
        <v>79</v>
      </c>
      <c r="D18" s="1"/>
      <c r="E18" s="1"/>
      <c r="F18" s="4"/>
    </row>
    <row r="19" customFormat="false" ht="15" hidden="false" customHeight="false" outlineLevel="0" collapsed="false">
      <c r="A19" s="1"/>
      <c r="B19" s="1"/>
      <c r="C19" s="1"/>
      <c r="D19" s="1"/>
      <c r="E19" s="1"/>
      <c r="F19" s="1"/>
    </row>
    <row r="20" customFormat="false" ht="15" hidden="false" customHeight="false" outlineLevel="0" collapsed="false">
      <c r="A20" s="1"/>
      <c r="B20" s="22" t="s">
        <v>80</v>
      </c>
      <c r="C20" s="23"/>
      <c r="D20" s="23"/>
      <c r="E20" s="1"/>
      <c r="F20" s="23"/>
    </row>
    <row r="21" customFormat="false" ht="22.35" hidden="false" customHeight="false" outlineLevel="0" collapsed="false">
      <c r="A21" s="1"/>
      <c r="B21" s="10" t="s">
        <v>81</v>
      </c>
      <c r="C21" s="24" t="s">
        <v>82</v>
      </c>
      <c r="D21" s="1"/>
      <c r="E21" s="1"/>
      <c r="F21" s="3" t="s">
        <v>83</v>
      </c>
    </row>
    <row r="22" customFormat="false" ht="15" hidden="false" customHeight="false" outlineLevel="0" collapsed="false">
      <c r="A22" s="1"/>
      <c r="B22" s="10" t="s">
        <v>84</v>
      </c>
      <c r="C22" s="24" t="s">
        <v>85</v>
      </c>
      <c r="D22" s="1"/>
      <c r="E22" s="1"/>
      <c r="F22" s="4"/>
    </row>
    <row r="23" customFormat="false" ht="15" hidden="false" customHeight="false" outlineLevel="0" collapsed="false">
      <c r="A23" s="1"/>
      <c r="B23" s="10" t="s">
        <v>86</v>
      </c>
      <c r="C23" s="24" t="s">
        <v>87</v>
      </c>
      <c r="D23" s="1"/>
      <c r="E23" s="1"/>
      <c r="F23" s="4"/>
    </row>
    <row r="24" customFormat="false" ht="15" hidden="false" customHeight="false" outlineLevel="0" collapsed="false">
      <c r="A24" s="1"/>
      <c r="B24" s="10" t="s">
        <v>88</v>
      </c>
      <c r="C24" s="24" t="s">
        <v>89</v>
      </c>
      <c r="D24" s="1"/>
      <c r="E24" s="1"/>
      <c r="F24" s="4"/>
    </row>
    <row r="25" customFormat="false" ht="15" hidden="false" customHeight="false" outlineLevel="0" collapsed="false">
      <c r="A25" s="1"/>
      <c r="B25" s="10" t="s">
        <v>90</v>
      </c>
      <c r="C25" s="24" t="s">
        <v>91</v>
      </c>
      <c r="D25" s="1"/>
      <c r="E25" s="1"/>
      <c r="F25" s="3" t="s">
        <v>92</v>
      </c>
    </row>
    <row r="26" customFormat="false" ht="15" hidden="false" customHeight="false" outlineLevel="0" collapsed="false">
      <c r="A26" s="1"/>
      <c r="B26" s="1"/>
      <c r="C26" s="1"/>
      <c r="D26" s="1"/>
      <c r="E26" s="1"/>
      <c r="F26" s="1"/>
    </row>
    <row r="27" customFormat="false" ht="15" hidden="false" customHeight="false" outlineLevel="0" collapsed="false">
      <c r="A27" s="1"/>
      <c r="B27" s="22" t="s">
        <v>93</v>
      </c>
      <c r="C27" s="23"/>
      <c r="D27" s="23"/>
      <c r="E27" s="1"/>
      <c r="F27" s="23"/>
    </row>
    <row r="28" customFormat="false" ht="15" hidden="false" customHeight="false" outlineLevel="0" collapsed="false">
      <c r="A28" s="1"/>
      <c r="B28" s="10" t="s">
        <v>94</v>
      </c>
      <c r="C28" s="26" t="n">
        <v>0.2</v>
      </c>
      <c r="D28" s="1"/>
      <c r="E28" s="1"/>
      <c r="F28" s="4"/>
    </row>
    <row r="29" customFormat="false" ht="15" hidden="false" customHeight="false" outlineLevel="0" collapsed="false">
      <c r="A29" s="1"/>
      <c r="B29" s="10" t="s">
        <v>95</v>
      </c>
      <c r="C29" s="26" t="n">
        <v>0.5</v>
      </c>
      <c r="D29" s="1"/>
      <c r="E29" s="1"/>
      <c r="F29" s="4"/>
    </row>
    <row r="30" customFormat="false" ht="15" hidden="false" customHeight="false" outlineLevel="0" collapsed="false">
      <c r="A30" s="1"/>
      <c r="B30" s="10" t="s">
        <v>96</v>
      </c>
      <c r="C30" s="26" t="n">
        <v>0.3</v>
      </c>
      <c r="D30" s="1"/>
      <c r="E30" s="1"/>
      <c r="F30" s="4"/>
    </row>
    <row r="31" customFormat="false" ht="15" hidden="false" customHeight="false" outlineLevel="0" collapsed="false">
      <c r="A31" s="1"/>
      <c r="B31" s="10" t="s">
        <v>97</v>
      </c>
      <c r="C31" s="28" t="n">
        <f aca="false">rep_A+rep_B+rep_C</f>
        <v>1</v>
      </c>
      <c r="D31" s="1"/>
      <c r="E31" s="1"/>
      <c r="F31" s="1"/>
    </row>
    <row r="32" customFormat="false" ht="15" hidden="false" customHeight="false" outlineLevel="0" collapsed="false">
      <c r="A32" s="1"/>
      <c r="B32" s="1"/>
      <c r="C32" s="1"/>
      <c r="D32" s="1"/>
      <c r="E32" s="1"/>
      <c r="F32" s="1"/>
    </row>
    <row r="33" customFormat="false" ht="15" hidden="false" customHeight="false" outlineLevel="0" collapsed="false">
      <c r="A33" s="1"/>
      <c r="B33" s="22" t="s">
        <v>98</v>
      </c>
      <c r="C33" s="23"/>
      <c r="D33" s="23"/>
      <c r="E33" s="1"/>
      <c r="F33" s="23"/>
    </row>
    <row r="34" customFormat="false" ht="15" hidden="false" customHeight="false" outlineLevel="0" collapsed="false">
      <c r="A34" s="1"/>
      <c r="B34" s="10" t="s">
        <v>99</v>
      </c>
      <c r="C34" s="29" t="n">
        <v>450000</v>
      </c>
      <c r="D34" s="1"/>
      <c r="E34" s="1"/>
      <c r="F34" s="4"/>
    </row>
    <row r="35" customFormat="false" ht="15" hidden="false" customHeight="false" outlineLevel="0" collapsed="false">
      <c r="A35" s="1"/>
      <c r="B35" s="10" t="s">
        <v>100</v>
      </c>
      <c r="C35" s="29" t="n">
        <v>60000</v>
      </c>
      <c r="D35" s="1"/>
      <c r="E35" s="1"/>
      <c r="F35" s="4"/>
    </row>
    <row r="36" customFormat="false" ht="15" hidden="false" customHeight="false" outlineLevel="0" collapsed="false">
      <c r="A36" s="1"/>
      <c r="B36" s="10" t="s">
        <v>101</v>
      </c>
      <c r="C36" s="30" t="n">
        <v>5</v>
      </c>
      <c r="D36" s="1"/>
      <c r="E36" s="1"/>
      <c r="F36" s="4"/>
    </row>
    <row r="37" customFormat="false" ht="15" hidden="false" customHeight="false" outlineLevel="0" collapsed="false">
      <c r="A37" s="1"/>
      <c r="B37" s="1"/>
      <c r="C37" s="1"/>
      <c r="D37" s="1"/>
      <c r="E37" s="1"/>
      <c r="F37" s="1"/>
    </row>
    <row r="38" customFormat="false" ht="15" hidden="false" customHeight="false" outlineLevel="0" collapsed="false">
      <c r="A38" s="1"/>
      <c r="B38" s="22" t="s">
        <v>102</v>
      </c>
      <c r="C38" s="23"/>
      <c r="D38" s="23"/>
      <c r="E38" s="1"/>
      <c r="F38" s="23"/>
    </row>
    <row r="39" customFormat="false" ht="22.35" hidden="false" customHeight="false" outlineLevel="0" collapsed="false">
      <c r="A39" s="1"/>
      <c r="B39" s="10" t="s">
        <v>103</v>
      </c>
      <c r="C39" s="24" t="s">
        <v>87</v>
      </c>
      <c r="D39" s="1"/>
      <c r="E39" s="1"/>
      <c r="F39" s="3" t="s">
        <v>104</v>
      </c>
    </row>
    <row r="40" customFormat="false" ht="15" hidden="false" customHeight="false" outlineLevel="0" collapsed="false">
      <c r="A40" s="1"/>
      <c r="B40" s="10" t="s">
        <v>105</v>
      </c>
      <c r="C40" s="24" t="s">
        <v>106</v>
      </c>
      <c r="D40" s="1"/>
      <c r="E40" s="1"/>
      <c r="F40" s="4"/>
    </row>
    <row r="41" customFormat="false" ht="15" hidden="false" customHeight="false" outlineLevel="0" collapsed="false">
      <c r="A41" s="1"/>
      <c r="B41" s="10" t="s">
        <v>107</v>
      </c>
      <c r="C41" s="29" t="n">
        <v>20000</v>
      </c>
      <c r="D41" s="1"/>
      <c r="E41" s="1"/>
      <c r="F41" s="3" t="s">
        <v>108</v>
      </c>
    </row>
    <row r="42" customFormat="false" ht="15" hidden="false" customHeight="false" outlineLevel="0" collapsed="false">
      <c r="A42" s="1"/>
      <c r="B42" s="10" t="s">
        <v>109</v>
      </c>
      <c r="C42" s="29" t="n">
        <v>0</v>
      </c>
      <c r="D42" s="1"/>
      <c r="E42" s="1"/>
      <c r="F42" s="3" t="s">
        <v>110</v>
      </c>
    </row>
    <row r="43" customFormat="false" ht="15" hidden="false" customHeight="false" outlineLevel="0" collapsed="false">
      <c r="A43" s="1"/>
      <c r="B43" s="1"/>
      <c r="C43" s="1"/>
      <c r="D43" s="1"/>
      <c r="E43" s="1"/>
      <c r="F43" s="1"/>
    </row>
    <row r="44" customFormat="false" ht="15" hidden="false" customHeight="false" outlineLevel="0" collapsed="false">
      <c r="A44" s="1"/>
      <c r="B44" s="22" t="s">
        <v>111</v>
      </c>
      <c r="C44" s="23"/>
      <c r="D44" s="23"/>
      <c r="E44" s="1"/>
      <c r="F44" s="23"/>
    </row>
    <row r="45" customFormat="false" ht="26.85" hidden="false" customHeight="false" outlineLevel="0" collapsed="false">
      <c r="A45" s="31"/>
      <c r="B45" s="9" t="s">
        <v>112</v>
      </c>
      <c r="C45" s="9" t="s">
        <v>113</v>
      </c>
      <c r="D45" s="9" t="s">
        <v>114</v>
      </c>
      <c r="E45" s="9" t="s">
        <v>115</v>
      </c>
      <c r="F45" s="9" t="s">
        <v>116</v>
      </c>
    </row>
    <row r="46" customFormat="false" ht="26.85" hidden="false" customHeight="false" outlineLevel="0" collapsed="false">
      <c r="A46" s="1"/>
      <c r="B46" s="10" t="s">
        <v>117</v>
      </c>
      <c r="C46" s="10" t="s">
        <v>118</v>
      </c>
      <c r="D46" s="29" t="n">
        <v>0</v>
      </c>
      <c r="E46" s="24" t="s">
        <v>119</v>
      </c>
      <c r="F46" s="32" t="s">
        <v>120</v>
      </c>
    </row>
    <row r="47" customFormat="false" ht="26.85" hidden="false" customHeight="false" outlineLevel="0" collapsed="false">
      <c r="A47" s="1"/>
      <c r="B47" s="10" t="s">
        <v>121</v>
      </c>
      <c r="C47" s="10" t="s">
        <v>118</v>
      </c>
      <c r="D47" s="29" t="n">
        <v>30000</v>
      </c>
      <c r="E47" s="24" t="s">
        <v>79</v>
      </c>
      <c r="F47" s="32" t="s">
        <v>122</v>
      </c>
    </row>
    <row r="48" customFormat="false" ht="15" hidden="false" customHeight="false" outlineLevel="0" collapsed="false">
      <c r="A48" s="1"/>
      <c r="B48" s="10" t="s">
        <v>123</v>
      </c>
      <c r="C48" s="10" t="s">
        <v>118</v>
      </c>
      <c r="D48" s="29" t="n">
        <v>0</v>
      </c>
      <c r="E48" s="24" t="s">
        <v>119</v>
      </c>
      <c r="F48" s="32"/>
    </row>
    <row r="49" customFormat="false" ht="15" hidden="false" customHeight="false" outlineLevel="0" collapsed="false">
      <c r="A49" s="1"/>
      <c r="B49" s="10" t="s">
        <v>124</v>
      </c>
      <c r="C49" s="10" t="s">
        <v>118</v>
      </c>
      <c r="D49" s="29" t="n">
        <v>0</v>
      </c>
      <c r="E49" s="24" t="s">
        <v>119</v>
      </c>
      <c r="F49" s="32"/>
    </row>
    <row r="50" customFormat="false" ht="15" hidden="false" customHeight="false" outlineLevel="0" collapsed="false">
      <c r="A50" s="1"/>
      <c r="B50" s="10" t="s">
        <v>125</v>
      </c>
      <c r="C50" s="10" t="s">
        <v>118</v>
      </c>
      <c r="D50" s="29" t="n">
        <v>0</v>
      </c>
      <c r="E50" s="24" t="s">
        <v>119</v>
      </c>
      <c r="F50" s="32" t="s">
        <v>126</v>
      </c>
    </row>
    <row r="51" customFormat="false" ht="15" hidden="false" customHeight="false" outlineLevel="0" collapsed="false">
      <c r="A51" s="1"/>
      <c r="B51" s="10" t="s">
        <v>127</v>
      </c>
      <c r="C51" s="10" t="s">
        <v>118</v>
      </c>
      <c r="D51" s="29" t="n">
        <v>0</v>
      </c>
      <c r="E51" s="24" t="s">
        <v>119</v>
      </c>
      <c r="F51" s="32"/>
    </row>
    <row r="52" customFormat="false" ht="15" hidden="false" customHeight="false" outlineLevel="0" collapsed="false">
      <c r="A52" s="1"/>
      <c r="B52" s="10" t="s">
        <v>128</v>
      </c>
      <c r="C52" s="10" t="s">
        <v>129</v>
      </c>
      <c r="D52" s="29" t="n">
        <v>0</v>
      </c>
      <c r="E52" s="24" t="s">
        <v>119</v>
      </c>
      <c r="F52" s="32" t="s">
        <v>130</v>
      </c>
    </row>
    <row r="53" customFormat="false" ht="15" hidden="false" customHeight="false" outlineLevel="0" collapsed="false">
      <c r="A53" s="1"/>
      <c r="B53" s="10" t="s">
        <v>131</v>
      </c>
      <c r="C53" s="10" t="s">
        <v>132</v>
      </c>
      <c r="D53" s="29" t="n">
        <v>15000</v>
      </c>
      <c r="E53" s="24" t="s">
        <v>119</v>
      </c>
      <c r="F53" s="32" t="s">
        <v>133</v>
      </c>
    </row>
    <row r="54" customFormat="false" ht="15" hidden="false" customHeight="false" outlineLevel="0" collapsed="false">
      <c r="A54" s="1"/>
      <c r="B54" s="10" t="s">
        <v>134</v>
      </c>
      <c r="C54" s="10" t="s">
        <v>132</v>
      </c>
      <c r="D54" s="29" t="n">
        <v>0</v>
      </c>
      <c r="E54" s="24" t="s">
        <v>119</v>
      </c>
      <c r="F54" s="32"/>
    </row>
    <row r="55" customFormat="false" ht="15" hidden="false" customHeight="false" outlineLevel="0" collapsed="false">
      <c r="A55" s="1"/>
      <c r="B55" s="10" t="s">
        <v>135</v>
      </c>
      <c r="C55" s="10" t="s">
        <v>136</v>
      </c>
      <c r="D55" s="29" t="n">
        <v>0</v>
      </c>
      <c r="E55" s="24" t="s">
        <v>119</v>
      </c>
      <c r="F55" s="32"/>
    </row>
    <row r="56" customFormat="false" ht="15" hidden="false" customHeight="false" outlineLevel="0" collapsed="false">
      <c r="A56" s="1"/>
      <c r="B56" s="1"/>
      <c r="C56" s="1"/>
      <c r="D56" s="1"/>
      <c r="E56" s="1"/>
      <c r="F56" s="1"/>
    </row>
    <row r="57" customFormat="false" ht="15" hidden="false" customHeight="false" outlineLevel="0" collapsed="false">
      <c r="A57" s="1"/>
      <c r="B57" s="8" t="s">
        <v>137</v>
      </c>
      <c r="C57" s="1"/>
      <c r="D57" s="1"/>
      <c r="E57" s="1"/>
      <c r="F57" s="1"/>
    </row>
  </sheetData>
  <dataValidations count="5">
    <dataValidation allowBlank="false" errorStyle="stop" operator="between" showDropDown="false" showErrorMessage="false" showInputMessage="false" sqref="C21 C23 C39" type="list">
      <formula1>"C0,C1,C2,C3,C4,C5"</formula1>
      <formula2>0</formula2>
    </dataValidation>
    <dataValidation allowBlank="false" errorStyle="stop" operator="between" showDropDown="false" showErrorMessage="false" showInputMessage="false" sqref="C22 C24 C40" type="list">
      <formula1>"T0,T1,T2,T3"</formula1>
      <formula2>0</formula2>
    </dataValidation>
    <dataValidation allowBlank="false" errorStyle="stop" operator="between" showDropDown="false" showErrorMessage="false" showInputMessage="false" sqref="C18 E46:E55" type="list">
      <formula1>"Oui,Non"</formula1>
      <formula2>0</formula2>
    </dataValidation>
    <dataValidation allowBlank="false" errorStyle="stop" operator="between" showDropDown="false" showErrorMessage="false" showInputMessage="false" sqref="C25" type="list">
      <formula1>"prudente,centrale,haute"</formula1>
      <formula2>0</formula2>
    </dataValidation>
    <dataValidation allowBlank="false" errorStyle="stop" operator="between" showDropDown="false" showErrorMessage="false" showInputMessage="false" sqref="C10" type="list">
      <formula1>"Mesuré,Estimé"</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0"/>
    <col collapsed="false" customWidth="true" hidden="false" outlineLevel="0" max="14" min="3" style="0" width="12"/>
    <col collapsed="false" customWidth="true" hidden="false" outlineLevel="0" max="15" min="15" style="0" width="40"/>
  </cols>
  <sheetData>
    <row r="1" customFormat="false" ht="17.35" hidden="false" customHeight="false" outlineLevel="0" collapsed="false">
      <c r="A1" s="7" t="s">
        <v>138</v>
      </c>
      <c r="B1" s="1"/>
      <c r="C1" s="1"/>
      <c r="D1" s="1"/>
      <c r="E1" s="1"/>
      <c r="F1" s="1"/>
      <c r="G1" s="1"/>
      <c r="H1" s="1"/>
      <c r="I1" s="1"/>
      <c r="J1" s="1"/>
      <c r="K1" s="1"/>
      <c r="L1" s="1"/>
      <c r="M1" s="1"/>
      <c r="N1" s="1"/>
      <c r="O1" s="1"/>
    </row>
    <row r="2" customFormat="false" ht="15" hidden="false" customHeight="false" outlineLevel="0" collapsed="false">
      <c r="A2" s="8" t="s">
        <v>139</v>
      </c>
      <c r="B2" s="1"/>
      <c r="C2" s="1"/>
      <c r="D2" s="1"/>
      <c r="E2" s="1"/>
      <c r="F2" s="1"/>
      <c r="G2" s="1"/>
      <c r="H2" s="1"/>
      <c r="I2" s="1"/>
      <c r="J2" s="1"/>
      <c r="K2" s="1"/>
      <c r="L2" s="1"/>
      <c r="M2" s="1"/>
      <c r="N2" s="1"/>
      <c r="O2" s="1"/>
    </row>
    <row r="3" customFormat="false" ht="15" hidden="false" customHeight="false" outlineLevel="0" collapsed="false">
      <c r="A3" s="1"/>
      <c r="B3" s="1"/>
      <c r="C3" s="1"/>
      <c r="D3" s="1"/>
      <c r="E3" s="1"/>
      <c r="F3" s="1"/>
      <c r="G3" s="1"/>
      <c r="H3" s="1"/>
      <c r="I3" s="1"/>
      <c r="J3" s="1"/>
      <c r="K3" s="1"/>
      <c r="L3" s="1"/>
      <c r="M3" s="1"/>
      <c r="N3" s="1"/>
      <c r="O3" s="1"/>
    </row>
    <row r="4" customFormat="false" ht="15" hidden="false" customHeight="false" outlineLevel="0" collapsed="false">
      <c r="A4" s="20" t="s">
        <v>140</v>
      </c>
      <c r="B4" s="1"/>
      <c r="C4" s="1"/>
      <c r="D4" s="1"/>
      <c r="E4" s="1"/>
      <c r="F4" s="1"/>
      <c r="G4" s="1"/>
      <c r="H4" s="1"/>
      <c r="I4" s="1"/>
      <c r="J4" s="1"/>
      <c r="K4" s="1"/>
      <c r="L4" s="1"/>
      <c r="M4" s="1"/>
      <c r="N4" s="1"/>
      <c r="O4" s="1"/>
    </row>
    <row r="5" customFormat="false" ht="60" hidden="false" customHeight="true" outlineLevel="0" collapsed="false">
      <c r="A5" s="9" t="s">
        <v>141</v>
      </c>
      <c r="B5" s="9" t="s">
        <v>142</v>
      </c>
      <c r="C5" s="9" t="s">
        <v>143</v>
      </c>
      <c r="D5" s="9" t="s">
        <v>144</v>
      </c>
      <c r="E5" s="9" t="s">
        <v>145</v>
      </c>
      <c r="F5" s="9" t="s">
        <v>146</v>
      </c>
      <c r="G5" s="9" t="s">
        <v>147</v>
      </c>
      <c r="H5" s="9" t="s">
        <v>148</v>
      </c>
      <c r="I5" s="9" t="s">
        <v>149</v>
      </c>
      <c r="J5" s="9" t="s">
        <v>150</v>
      </c>
      <c r="K5" s="9" t="s">
        <v>151</v>
      </c>
      <c r="L5" s="9" t="s">
        <v>152</v>
      </c>
      <c r="M5" s="9" t="s">
        <v>153</v>
      </c>
      <c r="N5" s="9" t="s">
        <v>154</v>
      </c>
      <c r="O5" s="9" t="s">
        <v>155</v>
      </c>
    </row>
    <row r="6" customFormat="false" ht="15" hidden="false" customHeight="false" outlineLevel="0" collapsed="false">
      <c r="A6" s="15" t="s">
        <v>156</v>
      </c>
      <c r="B6" s="10" t="s">
        <v>157</v>
      </c>
      <c r="C6" s="27" t="n">
        <v>4</v>
      </c>
      <c r="D6" s="27" t="n">
        <v>0.2</v>
      </c>
      <c r="E6" s="27" t="n">
        <v>1.6</v>
      </c>
      <c r="F6" s="26" t="n">
        <v>0.3</v>
      </c>
      <c r="G6" s="27" t="n">
        <v>2</v>
      </c>
      <c r="H6" s="27" t="n">
        <v>20</v>
      </c>
      <c r="I6" s="27" t="n">
        <v>0.5</v>
      </c>
      <c r="J6" s="27" t="n">
        <v>4</v>
      </c>
      <c r="K6" s="27" t="n">
        <v>3</v>
      </c>
      <c r="L6" s="30" t="n">
        <v>1</v>
      </c>
      <c r="M6" s="33" t="n">
        <v>0.6</v>
      </c>
      <c r="N6" s="33" t="n">
        <v>1.5</v>
      </c>
      <c r="O6" s="10" t="s">
        <v>158</v>
      </c>
    </row>
    <row r="7" customFormat="false" ht="15" hidden="false" customHeight="false" outlineLevel="0" collapsed="false">
      <c r="A7" s="15" t="s">
        <v>159</v>
      </c>
      <c r="B7" s="10" t="s">
        <v>160</v>
      </c>
      <c r="C7" s="27" t="n">
        <v>2.5</v>
      </c>
      <c r="D7" s="27" t="n">
        <v>0.2</v>
      </c>
      <c r="E7" s="27" t="n">
        <v>1.5</v>
      </c>
      <c r="F7" s="26" t="n">
        <v>0.35</v>
      </c>
      <c r="G7" s="27" t="n">
        <v>0.8</v>
      </c>
      <c r="H7" s="27" t="n">
        <v>8</v>
      </c>
      <c r="I7" s="27" t="n">
        <v>0.4</v>
      </c>
      <c r="J7" s="27" t="n">
        <v>3</v>
      </c>
      <c r="K7" s="27" t="n">
        <v>1</v>
      </c>
      <c r="L7" s="30" t="n">
        <v>0</v>
      </c>
      <c r="M7" s="33" t="n">
        <v>0</v>
      </c>
      <c r="N7" s="33" t="n">
        <v>0</v>
      </c>
      <c r="O7" s="10" t="s">
        <v>158</v>
      </c>
    </row>
    <row r="8" customFormat="false" ht="15" hidden="false" customHeight="false" outlineLevel="0" collapsed="false">
      <c r="A8" s="15" t="s">
        <v>82</v>
      </c>
      <c r="B8" s="10" t="s">
        <v>161</v>
      </c>
      <c r="C8" s="27" t="n">
        <v>2</v>
      </c>
      <c r="D8" s="27" t="n">
        <v>0.12</v>
      </c>
      <c r="E8" s="27" t="n">
        <v>1.5</v>
      </c>
      <c r="F8" s="26" t="n">
        <v>0.25</v>
      </c>
      <c r="G8" s="27" t="n">
        <v>0.8</v>
      </c>
      <c r="H8" s="27" t="n">
        <v>8</v>
      </c>
      <c r="I8" s="27" t="n">
        <v>0.4</v>
      </c>
      <c r="J8" s="27" t="n">
        <v>3</v>
      </c>
      <c r="K8" s="27" t="n">
        <v>1</v>
      </c>
      <c r="L8" s="30" t="n">
        <v>0</v>
      </c>
      <c r="M8" s="33" t="n">
        <v>0</v>
      </c>
      <c r="N8" s="33" t="n">
        <v>0</v>
      </c>
      <c r="O8" s="10" t="s">
        <v>162</v>
      </c>
    </row>
    <row r="9" customFormat="false" ht="15" hidden="false" customHeight="false" outlineLevel="0" collapsed="false">
      <c r="A9" s="15" t="s">
        <v>163</v>
      </c>
      <c r="B9" s="10" t="s">
        <v>164</v>
      </c>
      <c r="C9" s="27" t="n">
        <v>1</v>
      </c>
      <c r="D9" s="27" t="n">
        <v>0.04</v>
      </c>
      <c r="E9" s="27" t="n">
        <v>0.8</v>
      </c>
      <c r="F9" s="26" t="n">
        <v>0.2</v>
      </c>
      <c r="G9" s="27" t="n">
        <v>0.5</v>
      </c>
      <c r="H9" s="27" t="n">
        <v>3</v>
      </c>
      <c r="I9" s="27" t="n">
        <v>0.3</v>
      </c>
      <c r="J9" s="27" t="n">
        <v>2</v>
      </c>
      <c r="K9" s="27" t="n">
        <v>0.5</v>
      </c>
      <c r="L9" s="30" t="n">
        <v>0</v>
      </c>
      <c r="M9" s="33" t="n">
        <v>0</v>
      </c>
      <c r="N9" s="33" t="n">
        <v>0</v>
      </c>
      <c r="O9" s="10" t="s">
        <v>158</v>
      </c>
    </row>
    <row r="10" customFormat="false" ht="15" hidden="false" customHeight="false" outlineLevel="0" collapsed="false">
      <c r="A10" s="15" t="s">
        <v>87</v>
      </c>
      <c r="B10" s="10" t="s">
        <v>165</v>
      </c>
      <c r="C10" s="27" t="n">
        <v>0.2</v>
      </c>
      <c r="D10" s="27" t="n">
        <v>0</v>
      </c>
      <c r="E10" s="27" t="n">
        <v>0.2</v>
      </c>
      <c r="F10" s="26" t="n">
        <v>0.1</v>
      </c>
      <c r="G10" s="27" t="n">
        <v>0.1</v>
      </c>
      <c r="H10" s="27" t="n">
        <v>2</v>
      </c>
      <c r="I10" s="27" t="n">
        <v>0.3</v>
      </c>
      <c r="J10" s="27" t="n">
        <v>2</v>
      </c>
      <c r="K10" s="27" t="n">
        <v>0</v>
      </c>
      <c r="L10" s="30" t="n">
        <v>0</v>
      </c>
      <c r="M10" s="33" t="n">
        <v>0</v>
      </c>
      <c r="N10" s="33" t="n">
        <v>0</v>
      </c>
      <c r="O10" s="10" t="s">
        <v>162</v>
      </c>
    </row>
    <row r="11" customFormat="false" ht="15" hidden="false" customHeight="false" outlineLevel="0" collapsed="false">
      <c r="A11" s="15" t="s">
        <v>166</v>
      </c>
      <c r="B11" s="10" t="s">
        <v>167</v>
      </c>
      <c r="C11" s="27" t="n">
        <v>0.2</v>
      </c>
      <c r="D11" s="27" t="n">
        <v>0</v>
      </c>
      <c r="E11" s="27" t="n">
        <v>0.1</v>
      </c>
      <c r="F11" s="26" t="n">
        <v>0.05</v>
      </c>
      <c r="G11" s="27" t="n">
        <v>0.1</v>
      </c>
      <c r="H11" s="27" t="n">
        <v>2</v>
      </c>
      <c r="I11" s="27" t="n">
        <v>0.3</v>
      </c>
      <c r="J11" s="27" t="n">
        <v>2</v>
      </c>
      <c r="K11" s="27" t="n">
        <v>0</v>
      </c>
      <c r="L11" s="30" t="n">
        <v>0</v>
      </c>
      <c r="M11" s="33" t="n">
        <v>0</v>
      </c>
      <c r="N11" s="33" t="n">
        <v>0</v>
      </c>
      <c r="O11" s="10" t="s">
        <v>158</v>
      </c>
    </row>
    <row r="12" customFormat="false" ht="15" hidden="false" customHeight="false" outlineLevel="0" collapsed="false">
      <c r="A12" s="1"/>
      <c r="B12" s="1"/>
      <c r="C12" s="1"/>
      <c r="D12" s="1"/>
      <c r="E12" s="1"/>
      <c r="F12" s="1"/>
      <c r="G12" s="1"/>
      <c r="H12" s="1"/>
      <c r="I12" s="1"/>
      <c r="J12" s="1"/>
      <c r="K12" s="1"/>
      <c r="L12" s="1"/>
      <c r="M12" s="1"/>
      <c r="N12" s="1"/>
      <c r="O12" s="1"/>
    </row>
    <row r="13" customFormat="false" ht="15" hidden="false" customHeight="false" outlineLevel="0" collapsed="false">
      <c r="A13" s="20" t="s">
        <v>168</v>
      </c>
      <c r="B13" s="1"/>
      <c r="C13" s="1"/>
      <c r="D13" s="1"/>
      <c r="E13" s="1"/>
      <c r="F13" s="1"/>
      <c r="G13" s="1"/>
      <c r="H13" s="1"/>
      <c r="I13" s="1"/>
      <c r="J13" s="1"/>
      <c r="K13" s="1"/>
      <c r="L13" s="1"/>
      <c r="M13" s="1"/>
      <c r="N13" s="1"/>
      <c r="O13" s="1"/>
    </row>
    <row r="14" customFormat="false" ht="60" hidden="false" customHeight="true" outlineLevel="0" collapsed="false">
      <c r="A14" s="9" t="s">
        <v>141</v>
      </c>
      <c r="B14" s="9" t="s">
        <v>169</v>
      </c>
      <c r="C14" s="9" t="s">
        <v>170</v>
      </c>
      <c r="D14" s="9" t="s">
        <v>171</v>
      </c>
      <c r="E14" s="9" t="s">
        <v>172</v>
      </c>
      <c r="F14" s="9" t="s">
        <v>173</v>
      </c>
      <c r="G14" s="9" t="s">
        <v>174</v>
      </c>
      <c r="H14" s="9" t="s">
        <v>175</v>
      </c>
      <c r="I14" s="9" t="s">
        <v>176</v>
      </c>
      <c r="J14" s="9" t="s">
        <v>177</v>
      </c>
      <c r="K14" s="9" t="s">
        <v>178</v>
      </c>
      <c r="L14" s="9"/>
      <c r="M14" s="9"/>
      <c r="N14" s="9"/>
      <c r="O14" s="9"/>
    </row>
    <row r="15" customFormat="false" ht="15" hidden="false" customHeight="false" outlineLevel="0" collapsed="false">
      <c r="A15" s="15" t="s">
        <v>179</v>
      </c>
      <c r="B15" s="10" t="s">
        <v>180</v>
      </c>
      <c r="C15" s="27" t="n">
        <v>8</v>
      </c>
      <c r="D15" s="27" t="n">
        <v>2.5</v>
      </c>
      <c r="E15" s="27" t="n">
        <v>2.5</v>
      </c>
      <c r="F15" s="27" t="n">
        <v>4</v>
      </c>
      <c r="G15" s="30" t="n">
        <v>3</v>
      </c>
      <c r="H15" s="30" t="n">
        <v>2</v>
      </c>
      <c r="I15" s="34" t="n">
        <v>15</v>
      </c>
      <c r="J15" s="34" t="n">
        <v>5</v>
      </c>
      <c r="K15" s="35" t="n">
        <v>0</v>
      </c>
      <c r="L15" s="1"/>
      <c r="M15" s="1"/>
      <c r="N15" s="1"/>
      <c r="O15" s="10" t="s">
        <v>158</v>
      </c>
    </row>
    <row r="16" customFormat="false" ht="15" hidden="false" customHeight="false" outlineLevel="0" collapsed="false">
      <c r="A16" s="15" t="s">
        <v>85</v>
      </c>
      <c r="B16" s="10" t="s">
        <v>181</v>
      </c>
      <c r="C16" s="27" t="n">
        <v>7</v>
      </c>
      <c r="D16" s="27" t="n">
        <v>2</v>
      </c>
      <c r="E16" s="27" t="n">
        <v>2</v>
      </c>
      <c r="F16" s="27" t="n">
        <v>4</v>
      </c>
      <c r="G16" s="30" t="n">
        <v>1</v>
      </c>
      <c r="H16" s="30" t="n">
        <v>1</v>
      </c>
      <c r="I16" s="34" t="n">
        <v>12</v>
      </c>
      <c r="J16" s="34" t="n">
        <v>4</v>
      </c>
      <c r="K16" s="35" t="n">
        <v>1</v>
      </c>
      <c r="L16" s="1"/>
      <c r="M16" s="1"/>
      <c r="N16" s="1"/>
      <c r="O16" s="10" t="s">
        <v>158</v>
      </c>
    </row>
    <row r="17" customFormat="false" ht="15" hidden="false" customHeight="false" outlineLevel="0" collapsed="false">
      <c r="A17" s="15" t="s">
        <v>106</v>
      </c>
      <c r="B17" s="10" t="s">
        <v>182</v>
      </c>
      <c r="C17" s="27" t="n">
        <v>2</v>
      </c>
      <c r="D17" s="27" t="n">
        <v>0.3</v>
      </c>
      <c r="E17" s="27" t="n">
        <v>0.5</v>
      </c>
      <c r="F17" s="27" t="n">
        <v>4</v>
      </c>
      <c r="G17" s="30" t="n">
        <v>0</v>
      </c>
      <c r="H17" s="30" t="n">
        <v>0</v>
      </c>
      <c r="I17" s="34" t="n">
        <v>5</v>
      </c>
      <c r="J17" s="34" t="n">
        <v>1.5</v>
      </c>
      <c r="K17" s="35" t="n">
        <v>2</v>
      </c>
      <c r="L17" s="1"/>
      <c r="M17" s="1"/>
      <c r="N17" s="1"/>
      <c r="O17" s="10" t="s">
        <v>158</v>
      </c>
    </row>
    <row r="18" customFormat="false" ht="15" hidden="false" customHeight="false" outlineLevel="0" collapsed="false">
      <c r="A18" s="15" t="s">
        <v>89</v>
      </c>
      <c r="B18" s="10" t="s">
        <v>183</v>
      </c>
      <c r="C18" s="27" t="n">
        <v>2</v>
      </c>
      <c r="D18" s="27" t="n">
        <v>0.2</v>
      </c>
      <c r="E18" s="27" t="n">
        <v>0.3</v>
      </c>
      <c r="F18" s="27" t="n">
        <v>0.3</v>
      </c>
      <c r="G18" s="30" t="n">
        <v>0</v>
      </c>
      <c r="H18" s="30" t="n">
        <v>0</v>
      </c>
      <c r="I18" s="34" t="n">
        <v>5</v>
      </c>
      <c r="J18" s="34" t="n">
        <v>1</v>
      </c>
      <c r="K18" s="35" t="n">
        <v>3</v>
      </c>
      <c r="L18" s="1"/>
      <c r="M18" s="1"/>
      <c r="N18" s="1"/>
      <c r="O18" s="10" t="s">
        <v>158</v>
      </c>
    </row>
    <row r="19" customFormat="false" ht="15" hidden="false" customHeight="false" outlineLevel="0" collapsed="false">
      <c r="A19" s="1"/>
      <c r="B19" s="1"/>
      <c r="C19" s="1"/>
      <c r="D19" s="1"/>
      <c r="E19" s="1"/>
      <c r="F19" s="1"/>
      <c r="G19" s="1"/>
      <c r="H19" s="1"/>
      <c r="I19" s="1"/>
      <c r="J19" s="1"/>
      <c r="K19" s="1"/>
      <c r="L19" s="1"/>
      <c r="M19" s="1"/>
      <c r="N19" s="1"/>
      <c r="O19" s="1"/>
    </row>
    <row r="20" customFormat="false" ht="15" hidden="false" customHeight="false" outlineLevel="0" collapsed="false">
      <c r="A20" s="20" t="s">
        <v>184</v>
      </c>
      <c r="B20" s="1"/>
      <c r="C20" s="1"/>
      <c r="D20" s="1"/>
      <c r="E20" s="1"/>
      <c r="F20" s="1"/>
      <c r="G20" s="1"/>
      <c r="H20" s="1"/>
      <c r="I20" s="1"/>
      <c r="J20" s="1"/>
      <c r="K20" s="1"/>
      <c r="L20" s="1"/>
      <c r="M20" s="1"/>
      <c r="N20" s="1"/>
      <c r="O20" s="1"/>
    </row>
    <row r="21" customFormat="false" ht="15" hidden="false" customHeight="true" outlineLevel="0" collapsed="false">
      <c r="A21" s="9"/>
      <c r="B21" s="9" t="s">
        <v>185</v>
      </c>
      <c r="C21" s="9" t="s">
        <v>37</v>
      </c>
      <c r="D21" s="9" t="s">
        <v>186</v>
      </c>
      <c r="E21" s="9" t="s">
        <v>187</v>
      </c>
      <c r="F21" s="9"/>
      <c r="G21" s="9"/>
      <c r="H21" s="9"/>
      <c r="I21" s="9"/>
      <c r="J21" s="9"/>
      <c r="K21" s="9"/>
      <c r="L21" s="9"/>
      <c r="M21" s="9"/>
      <c r="N21" s="9"/>
      <c r="O21" s="9"/>
    </row>
    <row r="22" customFormat="false" ht="15" hidden="false" customHeight="false" outlineLevel="0" collapsed="false">
      <c r="A22" s="1"/>
      <c r="B22" s="10" t="s">
        <v>188</v>
      </c>
      <c r="C22" s="26" t="n">
        <v>0.5</v>
      </c>
      <c r="D22" s="10" t="s">
        <v>189</v>
      </c>
      <c r="E22" s="10" t="s">
        <v>190</v>
      </c>
      <c r="F22" s="10"/>
      <c r="G22" s="10"/>
      <c r="H22" s="10"/>
      <c r="I22" s="10"/>
      <c r="J22" s="10"/>
      <c r="K22" s="10"/>
      <c r="L22" s="10"/>
      <c r="M22" s="10"/>
      <c r="N22" s="10"/>
      <c r="O22" s="10"/>
    </row>
    <row r="23" customFormat="false" ht="15" hidden="false" customHeight="false" outlineLevel="0" collapsed="false">
      <c r="A23" s="1"/>
      <c r="B23" s="10" t="s">
        <v>191</v>
      </c>
      <c r="C23" s="26" t="n">
        <v>0.4</v>
      </c>
      <c r="D23" s="10" t="s">
        <v>189</v>
      </c>
      <c r="E23" s="10" t="s">
        <v>192</v>
      </c>
      <c r="F23" s="10"/>
      <c r="G23" s="10"/>
      <c r="H23" s="10"/>
      <c r="I23" s="10"/>
      <c r="J23" s="10"/>
      <c r="K23" s="10"/>
      <c r="L23" s="10"/>
      <c r="M23" s="10"/>
      <c r="N23" s="10"/>
      <c r="O23" s="10"/>
    </row>
    <row r="24" customFormat="false" ht="15" hidden="false" customHeight="false" outlineLevel="0" collapsed="false">
      <c r="A24" s="1"/>
      <c r="B24" s="10" t="s">
        <v>193</v>
      </c>
      <c r="C24" s="26" t="n">
        <v>0.5</v>
      </c>
      <c r="D24" s="10" t="s">
        <v>189</v>
      </c>
      <c r="E24" s="10" t="s">
        <v>194</v>
      </c>
      <c r="F24" s="10"/>
      <c r="G24" s="10"/>
      <c r="H24" s="10"/>
      <c r="I24" s="10"/>
      <c r="J24" s="10"/>
      <c r="K24" s="10"/>
      <c r="L24" s="10"/>
      <c r="M24" s="10"/>
      <c r="N24" s="10"/>
      <c r="O24" s="10"/>
    </row>
    <row r="25" customFormat="false" ht="15" hidden="false" customHeight="false" outlineLevel="0" collapsed="false">
      <c r="A25" s="1"/>
      <c r="B25" s="10" t="s">
        <v>195</v>
      </c>
      <c r="C25" s="27" t="n">
        <v>0.2</v>
      </c>
      <c r="D25" s="10" t="s">
        <v>196</v>
      </c>
      <c r="E25" s="10" t="s">
        <v>197</v>
      </c>
      <c r="F25" s="10"/>
      <c r="G25" s="10"/>
      <c r="H25" s="10"/>
      <c r="I25" s="10"/>
      <c r="J25" s="10"/>
      <c r="K25" s="10"/>
      <c r="L25" s="10"/>
      <c r="M25" s="10"/>
      <c r="N25" s="10"/>
      <c r="O25" s="10"/>
    </row>
    <row r="26" customFormat="false" ht="15" hidden="false" customHeight="false" outlineLevel="0" collapsed="false">
      <c r="A26" s="1"/>
      <c r="B26" s="10" t="s">
        <v>198</v>
      </c>
      <c r="C26" s="27" t="n">
        <v>15</v>
      </c>
      <c r="D26" s="10" t="s">
        <v>199</v>
      </c>
      <c r="E26" s="10" t="s">
        <v>197</v>
      </c>
      <c r="F26" s="10"/>
      <c r="G26" s="10"/>
      <c r="H26" s="10"/>
      <c r="I26" s="10"/>
      <c r="J26" s="10"/>
      <c r="K26" s="10"/>
      <c r="L26" s="10"/>
      <c r="M26" s="10"/>
      <c r="N26" s="10"/>
      <c r="O26" s="10"/>
    </row>
    <row r="27" customFormat="false" ht="15" hidden="false" customHeight="false" outlineLevel="0" collapsed="false">
      <c r="A27" s="1"/>
      <c r="B27" s="10" t="s">
        <v>200</v>
      </c>
      <c r="C27" s="25" t="n">
        <v>1607</v>
      </c>
      <c r="D27" s="10" t="s">
        <v>201</v>
      </c>
      <c r="E27" s="10" t="s">
        <v>202</v>
      </c>
      <c r="F27" s="10"/>
      <c r="G27" s="10"/>
      <c r="H27" s="10"/>
      <c r="I27" s="10"/>
      <c r="J27" s="10"/>
      <c r="K27" s="10"/>
      <c r="L27" s="10"/>
      <c r="M27" s="10"/>
      <c r="N27" s="10"/>
      <c r="O27" s="10"/>
    </row>
    <row r="28" customFormat="false" ht="15" hidden="false" customHeight="false" outlineLevel="0" collapsed="false">
      <c r="A28" s="1"/>
      <c r="B28" s="10" t="s">
        <v>203</v>
      </c>
      <c r="C28" s="29" t="n">
        <v>80000</v>
      </c>
      <c r="D28" s="10" t="s">
        <v>204</v>
      </c>
      <c r="E28" s="10" t="s">
        <v>205</v>
      </c>
      <c r="F28" s="10"/>
      <c r="G28" s="10"/>
      <c r="H28" s="10"/>
      <c r="I28" s="10"/>
      <c r="J28" s="10"/>
      <c r="K28" s="10"/>
      <c r="L28" s="10"/>
      <c r="M28" s="10"/>
      <c r="N28" s="10"/>
      <c r="O28" s="10"/>
    </row>
    <row r="29" customFormat="false" ht="15" hidden="false" customHeight="false" outlineLevel="0" collapsed="false">
      <c r="A29" s="1"/>
      <c r="B29" s="10" t="s">
        <v>206</v>
      </c>
      <c r="C29" s="29" t="n">
        <v>60000</v>
      </c>
      <c r="D29" s="10" t="s">
        <v>204</v>
      </c>
      <c r="E29" s="10" t="s">
        <v>207</v>
      </c>
      <c r="F29" s="10"/>
      <c r="G29" s="10"/>
      <c r="H29" s="10"/>
      <c r="I29" s="10"/>
      <c r="J29" s="10"/>
      <c r="K29" s="10"/>
      <c r="L29" s="10"/>
      <c r="M29" s="10"/>
      <c r="N29" s="10"/>
      <c r="O29" s="10"/>
    </row>
    <row r="30" customFormat="false" ht="15" hidden="false" customHeight="false" outlineLevel="0" collapsed="false">
      <c r="A30" s="1"/>
      <c r="B30" s="10" t="s">
        <v>208</v>
      </c>
      <c r="C30" s="29" t="n">
        <v>48000</v>
      </c>
      <c r="D30" s="10" t="s">
        <v>204</v>
      </c>
      <c r="E30" s="10" t="s">
        <v>207</v>
      </c>
      <c r="F30" s="10"/>
      <c r="G30" s="10"/>
      <c r="H30" s="10"/>
      <c r="I30" s="10"/>
      <c r="J30" s="10"/>
      <c r="K30" s="10"/>
      <c r="L30" s="10"/>
      <c r="M30" s="10"/>
      <c r="N30" s="10"/>
      <c r="O30" s="10"/>
    </row>
    <row r="31" customFormat="false" ht="15" hidden="false" customHeight="false" outlineLevel="0" collapsed="false">
      <c r="A31" s="1"/>
      <c r="B31" s="10" t="s">
        <v>209</v>
      </c>
      <c r="C31" s="33" t="n">
        <v>1.5</v>
      </c>
      <c r="D31" s="10" t="s">
        <v>204</v>
      </c>
      <c r="E31" s="10" t="s">
        <v>210</v>
      </c>
      <c r="F31" s="10"/>
      <c r="G31" s="10"/>
      <c r="H31" s="10"/>
      <c r="I31" s="10"/>
      <c r="J31" s="10"/>
      <c r="K31" s="10"/>
      <c r="L31" s="10"/>
      <c r="M31" s="10"/>
      <c r="N31" s="10"/>
      <c r="O31" s="10"/>
    </row>
    <row r="32" customFormat="false" ht="15" hidden="false" customHeight="false" outlineLevel="0" collapsed="false">
      <c r="A32" s="1"/>
      <c r="B32" s="10" t="s">
        <v>211</v>
      </c>
      <c r="C32" s="33" t="n">
        <v>0.04</v>
      </c>
      <c r="D32" s="10" t="s">
        <v>204</v>
      </c>
      <c r="E32" s="10" t="s">
        <v>197</v>
      </c>
      <c r="F32" s="10"/>
      <c r="G32" s="10"/>
      <c r="H32" s="10"/>
      <c r="I32" s="10"/>
      <c r="J32" s="10"/>
      <c r="K32" s="10"/>
      <c r="L32" s="10"/>
      <c r="M32" s="10"/>
      <c r="N32" s="10"/>
      <c r="O32" s="10"/>
    </row>
    <row r="33" customFormat="false" ht="15" hidden="false" customHeight="false" outlineLevel="0" collapsed="false">
      <c r="A33" s="1"/>
      <c r="B33" s="10" t="s">
        <v>212</v>
      </c>
      <c r="C33" s="33" t="n">
        <v>1.2</v>
      </c>
      <c r="D33" s="10" t="s">
        <v>204</v>
      </c>
      <c r="E33" s="10" t="s">
        <v>213</v>
      </c>
      <c r="F33" s="10"/>
      <c r="G33" s="10"/>
      <c r="H33" s="10"/>
      <c r="I33" s="10"/>
      <c r="J33" s="10"/>
      <c r="K33" s="10"/>
      <c r="L33" s="10"/>
      <c r="M33" s="10"/>
      <c r="N33" s="10"/>
      <c r="O33" s="10"/>
    </row>
    <row r="34" customFormat="false" ht="15" hidden="false" customHeight="false" outlineLevel="0" collapsed="false">
      <c r="A34" s="1"/>
      <c r="B34" s="10" t="s">
        <v>214</v>
      </c>
      <c r="C34" s="33" t="n">
        <v>7.28</v>
      </c>
      <c r="D34" s="10" t="s">
        <v>215</v>
      </c>
      <c r="E34" s="10" t="s">
        <v>216</v>
      </c>
      <c r="F34" s="10"/>
      <c r="G34" s="10"/>
      <c r="H34" s="10"/>
      <c r="I34" s="10"/>
      <c r="J34" s="10"/>
      <c r="K34" s="10"/>
      <c r="L34" s="10"/>
      <c r="M34" s="10"/>
      <c r="N34" s="10"/>
      <c r="O34" s="10"/>
    </row>
    <row r="35" customFormat="false" ht="15" hidden="false" customHeight="false" outlineLevel="0" collapsed="false">
      <c r="A35" s="1"/>
      <c r="B35" s="10" t="s">
        <v>217</v>
      </c>
      <c r="C35" s="33" t="n">
        <v>44.7</v>
      </c>
      <c r="D35" s="10" t="s">
        <v>215</v>
      </c>
      <c r="E35" s="10" t="s">
        <v>216</v>
      </c>
      <c r="F35" s="10"/>
      <c r="G35" s="10"/>
      <c r="H35" s="10"/>
      <c r="I35" s="10"/>
      <c r="J35" s="10"/>
      <c r="K35" s="10"/>
      <c r="L35" s="10"/>
      <c r="M35" s="10"/>
      <c r="N35" s="10"/>
      <c r="O35" s="10"/>
    </row>
    <row r="36" customFormat="false" ht="15" hidden="false" customHeight="false" outlineLevel="0" collapsed="false">
      <c r="A36" s="1"/>
      <c r="B36" s="10" t="s">
        <v>218</v>
      </c>
      <c r="C36" s="26" t="n">
        <v>0.5</v>
      </c>
      <c r="D36" s="10" t="s">
        <v>189</v>
      </c>
      <c r="E36" s="10" t="s">
        <v>197</v>
      </c>
      <c r="F36" s="10"/>
      <c r="G36" s="10"/>
      <c r="H36" s="10"/>
      <c r="I36" s="10"/>
      <c r="J36" s="10"/>
      <c r="K36" s="10"/>
      <c r="L36" s="10"/>
      <c r="M36" s="10"/>
      <c r="N36" s="10"/>
      <c r="O36" s="10"/>
    </row>
    <row r="37" customFormat="false" ht="15" hidden="false" customHeight="false" outlineLevel="0" collapsed="false">
      <c r="A37" s="1"/>
      <c r="B37" s="1"/>
      <c r="C37" s="1"/>
      <c r="D37" s="1"/>
      <c r="E37" s="1"/>
      <c r="F37" s="1"/>
      <c r="G37" s="1"/>
      <c r="H37" s="1"/>
      <c r="I37" s="1"/>
      <c r="J37" s="1"/>
      <c r="K37" s="1"/>
      <c r="L37" s="1"/>
      <c r="M37" s="1"/>
      <c r="N37" s="1"/>
      <c r="O37" s="1"/>
    </row>
    <row r="38" customFormat="false" ht="15" hidden="false" customHeight="false" outlineLevel="0" collapsed="false">
      <c r="A38" s="20" t="s">
        <v>219</v>
      </c>
      <c r="B38" s="1"/>
      <c r="C38" s="1"/>
      <c r="D38" s="1"/>
      <c r="E38" s="1"/>
      <c r="F38" s="1"/>
      <c r="G38" s="1"/>
      <c r="H38" s="1"/>
      <c r="I38" s="1"/>
      <c r="J38" s="1"/>
      <c r="K38" s="1"/>
      <c r="L38" s="1"/>
      <c r="M38" s="1"/>
      <c r="N38" s="1"/>
      <c r="O38" s="1"/>
    </row>
    <row r="39" customFormat="false" ht="45" hidden="false" customHeight="true" outlineLevel="0" collapsed="false">
      <c r="A39" s="9"/>
      <c r="B39" s="9" t="s">
        <v>220</v>
      </c>
      <c r="C39" s="9" t="s">
        <v>221</v>
      </c>
      <c r="D39" s="9" t="s">
        <v>222</v>
      </c>
      <c r="E39" s="9" t="s">
        <v>223</v>
      </c>
      <c r="F39" s="9" t="s">
        <v>155</v>
      </c>
      <c r="G39" s="9"/>
      <c r="H39" s="9"/>
      <c r="I39" s="9"/>
      <c r="J39" s="9"/>
      <c r="K39" s="9"/>
      <c r="L39" s="9"/>
      <c r="M39" s="9"/>
      <c r="N39" s="9"/>
      <c r="O39" s="9"/>
    </row>
    <row r="40" customFormat="false" ht="15" hidden="false" customHeight="false" outlineLevel="0" collapsed="false">
      <c r="A40" s="1"/>
      <c r="B40" s="15" t="s">
        <v>224</v>
      </c>
      <c r="C40" s="27" t="n">
        <v>0.75</v>
      </c>
      <c r="D40" s="26" t="n">
        <v>0.2</v>
      </c>
      <c r="E40" s="26" t="n">
        <v>0.6</v>
      </c>
      <c r="F40" s="10" t="s">
        <v>225</v>
      </c>
      <c r="G40" s="10"/>
      <c r="H40" s="10"/>
      <c r="I40" s="10"/>
      <c r="J40" s="10"/>
      <c r="K40" s="10"/>
      <c r="L40" s="10"/>
      <c r="M40" s="10"/>
      <c r="N40" s="10"/>
      <c r="O40" s="10"/>
    </row>
    <row r="41" customFormat="false" ht="15" hidden="false" customHeight="false" outlineLevel="0" collapsed="false">
      <c r="A41" s="1"/>
      <c r="B41" s="15" t="s">
        <v>91</v>
      </c>
      <c r="C41" s="27" t="n">
        <v>1</v>
      </c>
      <c r="D41" s="26" t="n">
        <v>0.35</v>
      </c>
      <c r="E41" s="26" t="n">
        <v>0.8</v>
      </c>
      <c r="F41" s="10" t="s">
        <v>225</v>
      </c>
      <c r="G41" s="10"/>
      <c r="H41" s="10"/>
      <c r="I41" s="10"/>
      <c r="J41" s="10"/>
      <c r="K41" s="10"/>
      <c r="L41" s="10"/>
      <c r="M41" s="10"/>
      <c r="N41" s="10"/>
      <c r="O41" s="10"/>
    </row>
    <row r="42" customFormat="false" ht="15" hidden="false" customHeight="false" outlineLevel="0" collapsed="false">
      <c r="A42" s="1"/>
      <c r="B42" s="15" t="s">
        <v>226</v>
      </c>
      <c r="C42" s="27" t="n">
        <v>1.2</v>
      </c>
      <c r="D42" s="26" t="n">
        <v>0.5</v>
      </c>
      <c r="E42" s="26" t="n">
        <v>0.95</v>
      </c>
      <c r="F42" s="10" t="s">
        <v>225</v>
      </c>
      <c r="G42" s="10"/>
      <c r="H42" s="10"/>
      <c r="I42" s="10"/>
      <c r="J42" s="10"/>
      <c r="K42" s="10"/>
      <c r="L42" s="10"/>
      <c r="M42" s="10"/>
      <c r="N42" s="10"/>
      <c r="O42" s="10"/>
    </row>
    <row r="43" customFormat="false" ht="15" hidden="false" customHeight="false" outlineLevel="0" collapsed="false">
      <c r="A43" s="1"/>
      <c r="B43" s="1"/>
      <c r="C43" s="1"/>
      <c r="D43" s="1"/>
      <c r="E43" s="1"/>
      <c r="F43" s="1"/>
      <c r="G43" s="1"/>
      <c r="H43" s="1"/>
      <c r="I43" s="1"/>
      <c r="J43" s="1"/>
      <c r="K43" s="1"/>
      <c r="L43" s="1"/>
      <c r="M43" s="1"/>
      <c r="N43" s="1"/>
      <c r="O43" s="1"/>
    </row>
    <row r="44" customFormat="false" ht="15" hidden="false" customHeight="false" outlineLevel="0" collapsed="false">
      <c r="A44" s="20" t="s">
        <v>227</v>
      </c>
      <c r="B44" s="1"/>
      <c r="C44" s="1"/>
      <c r="D44" s="1"/>
      <c r="E44" s="1"/>
      <c r="F44" s="1"/>
      <c r="G44" s="1"/>
      <c r="H44" s="1"/>
      <c r="I44" s="1"/>
      <c r="J44" s="1"/>
      <c r="K44" s="1"/>
      <c r="L44" s="1"/>
      <c r="M44" s="1"/>
      <c r="N44" s="1"/>
      <c r="O44" s="1"/>
    </row>
    <row r="45" customFormat="false" ht="15" hidden="false" customHeight="false" outlineLevel="0" collapsed="false">
      <c r="A45" s="9"/>
      <c r="B45" s="9" t="s">
        <v>228</v>
      </c>
      <c r="C45" s="9" t="s">
        <v>229</v>
      </c>
      <c r="D45" s="9" t="s">
        <v>230</v>
      </c>
      <c r="E45" s="9" t="s">
        <v>231</v>
      </c>
      <c r="F45" s="1"/>
      <c r="G45" s="1"/>
      <c r="H45" s="1"/>
      <c r="I45" s="1"/>
      <c r="J45" s="1"/>
      <c r="K45" s="1"/>
      <c r="L45" s="1"/>
      <c r="M45" s="1"/>
      <c r="N45" s="1"/>
      <c r="O45" s="1"/>
    </row>
    <row r="46" customFormat="false" ht="15" hidden="false" customHeight="false" outlineLevel="0" collapsed="false">
      <c r="A46" s="1"/>
      <c r="B46" s="10" t="s">
        <v>232</v>
      </c>
      <c r="C46" s="10" t="n">
        <v>10</v>
      </c>
      <c r="D46" s="10" t="n">
        <v>1</v>
      </c>
      <c r="E46" s="10" t="n">
        <v>1</v>
      </c>
      <c r="F46" s="1"/>
      <c r="G46" s="1"/>
      <c r="H46" s="1"/>
      <c r="I46" s="1"/>
      <c r="J46" s="1"/>
      <c r="K46" s="1"/>
      <c r="L46" s="1"/>
      <c r="M46" s="1"/>
      <c r="N46" s="1"/>
      <c r="O46" s="1"/>
    </row>
    <row r="47" customFormat="false" ht="15" hidden="false" customHeight="false" outlineLevel="0" collapsed="false">
      <c r="A47" s="1"/>
      <c r="B47" s="10" t="s">
        <v>233</v>
      </c>
      <c r="C47" s="10" t="n">
        <v>25</v>
      </c>
      <c r="D47" s="10" t="n">
        <v>3</v>
      </c>
      <c r="E47" s="10" t="n">
        <v>2</v>
      </c>
      <c r="F47" s="1"/>
      <c r="G47" s="1"/>
      <c r="H47" s="1"/>
      <c r="I47" s="1"/>
      <c r="J47" s="1"/>
      <c r="K47" s="1"/>
      <c r="L47" s="1"/>
      <c r="M47" s="1"/>
      <c r="N47" s="1"/>
      <c r="O47" s="1"/>
    </row>
    <row r="48" customFormat="false" ht="15" hidden="false" customHeight="false" outlineLevel="0" collapsed="false">
      <c r="A48" s="1"/>
      <c r="B48" s="10" t="s">
        <v>234</v>
      </c>
      <c r="C48" s="10" t="n">
        <v>50</v>
      </c>
      <c r="D48" s="10" t="n">
        <v>6</v>
      </c>
      <c r="E48" s="10" t="n">
        <v>3</v>
      </c>
      <c r="F48" s="1"/>
      <c r="G48" s="1"/>
      <c r="H48" s="1"/>
      <c r="I48" s="1"/>
      <c r="J48" s="1"/>
      <c r="K48" s="1"/>
      <c r="L48" s="1"/>
      <c r="M48" s="1"/>
      <c r="N48" s="1"/>
      <c r="O48" s="1"/>
    </row>
  </sheetData>
  <mergeCells count="20">
    <mergeCell ref="E21:O21"/>
    <mergeCell ref="E22:O22"/>
    <mergeCell ref="E23:O23"/>
    <mergeCell ref="E24:O24"/>
    <mergeCell ref="E25:O25"/>
    <mergeCell ref="E26:O26"/>
    <mergeCell ref="E27:O27"/>
    <mergeCell ref="E28:O28"/>
    <mergeCell ref="E29:O29"/>
    <mergeCell ref="E30:O30"/>
    <mergeCell ref="E31:O31"/>
    <mergeCell ref="E32:O32"/>
    <mergeCell ref="E33:O33"/>
    <mergeCell ref="E34:O34"/>
    <mergeCell ref="E35:O35"/>
    <mergeCell ref="E36:O36"/>
    <mergeCell ref="F39:O39"/>
    <mergeCell ref="F40:O40"/>
    <mergeCell ref="F41:O41"/>
    <mergeCell ref="F42:O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4"/>
    <col collapsed="false" customWidth="true" hidden="false" outlineLevel="0" max="4" min="2" style="0" width="16"/>
    <col collapsed="false" customWidth="true" hidden="false" outlineLevel="0" max="5" min="5" style="0" width="60"/>
  </cols>
  <sheetData>
    <row r="1" customFormat="false" ht="17.35" hidden="false" customHeight="false" outlineLevel="0" collapsed="false">
      <c r="A1" s="7" t="s">
        <v>235</v>
      </c>
      <c r="B1" s="1"/>
      <c r="C1" s="1"/>
      <c r="D1" s="1"/>
      <c r="E1" s="1"/>
    </row>
    <row r="2" customFormat="false" ht="15" hidden="false" customHeight="false" outlineLevel="0" collapsed="false">
      <c r="A2" s="8" t="s">
        <v>236</v>
      </c>
      <c r="B2" s="1"/>
      <c r="C2" s="1"/>
      <c r="D2" s="1"/>
      <c r="E2" s="1"/>
    </row>
    <row r="3" customFormat="false" ht="15" hidden="false" customHeight="false" outlineLevel="0" collapsed="false">
      <c r="A3" s="1"/>
      <c r="B3" s="1"/>
      <c r="C3" s="1"/>
      <c r="D3" s="1"/>
      <c r="E3" s="1"/>
    </row>
    <row r="4" customFormat="false" ht="15" hidden="false" customHeight="false" outlineLevel="0" collapsed="false">
      <c r="A4" s="9" t="s">
        <v>237</v>
      </c>
      <c r="B4" s="9" t="s">
        <v>31</v>
      </c>
      <c r="C4" s="9" t="s">
        <v>32</v>
      </c>
      <c r="D4" s="9" t="s">
        <v>238</v>
      </c>
      <c r="E4" s="9" t="s">
        <v>239</v>
      </c>
    </row>
    <row r="5" customFormat="false" ht="15" hidden="false" customHeight="false" outlineLevel="0" collapsed="false">
      <c r="A5" s="10" t="s">
        <v>240</v>
      </c>
      <c r="B5" s="10" t="str">
        <f aca="false">dep_C</f>
        <v>C2</v>
      </c>
      <c r="C5" s="10" t="str">
        <f aca="false">cib_C</f>
        <v>C4</v>
      </c>
      <c r="D5" s="10" t="str">
        <f aca="false">ref_C</f>
        <v>C4</v>
      </c>
      <c r="E5" s="8"/>
    </row>
    <row r="6" customFormat="false" ht="15" hidden="false" customHeight="false" outlineLevel="0" collapsed="false">
      <c r="A6" s="10" t="s">
        <v>241</v>
      </c>
      <c r="B6" s="10" t="str">
        <f aca="false">dep_T</f>
        <v>T1</v>
      </c>
      <c r="C6" s="10" t="str">
        <f aca="false">cib_T</f>
        <v>T3</v>
      </c>
      <c r="D6" s="10" t="str">
        <f aca="false">ref_T</f>
        <v>T2</v>
      </c>
      <c r="E6" s="8"/>
    </row>
    <row r="7" customFormat="false" ht="15" hidden="false" customHeight="false" outlineLevel="0" collapsed="false">
      <c r="A7" s="10" t="s">
        <v>242</v>
      </c>
      <c r="B7" s="36" t="n">
        <f aca="false">pj*(1-pj_api*(B5="C5"))</f>
        <v>3</v>
      </c>
      <c r="C7" s="36" t="n">
        <f aca="false">pj*(1-pj_api*(C5="C5"))</f>
        <v>3</v>
      </c>
      <c r="D7" s="36" t="n">
        <f aca="false">pj*(1-pj_api*(D5="C5"))</f>
        <v>3</v>
      </c>
      <c r="E7" s="8" t="s">
        <v>243</v>
      </c>
    </row>
    <row r="8" customFormat="false" ht="15" hidden="false" customHeight="false" outlineLevel="0" collapsed="false">
      <c r="A8" s="10" t="s">
        <v>244</v>
      </c>
      <c r="B8" s="36" t="n">
        <f aca="false">1+relance_par_pj*B7</f>
        <v>1.6</v>
      </c>
      <c r="C8" s="36" t="n">
        <f aca="false">1+relance_par_pj*C7</f>
        <v>1.6</v>
      </c>
      <c r="D8" s="36" t="n">
        <f aca="false">1+relance_par_pj*D7</f>
        <v>1.6</v>
      </c>
      <c r="E8" s="8"/>
    </row>
    <row r="9" customFormat="false" ht="15" hidden="false" customHeight="false" outlineLevel="0" collapsed="false">
      <c r="A9" s="10" t="s">
        <v>245</v>
      </c>
      <c r="B9" s="37" t="n">
        <f aca="false">INDEX(tblC,MATCH(B5,codesC,0),1)</f>
        <v>2</v>
      </c>
      <c r="C9" s="37" t="n">
        <f aca="false">INDEX(tblC,MATCH(C5,codesC,0),1)</f>
        <v>0.2</v>
      </c>
      <c r="D9" s="37" t="n">
        <f aca="false">INDEX(tblC,MATCH(D5,codesC,0),1)</f>
        <v>0.2</v>
      </c>
      <c r="E9" s="8"/>
    </row>
    <row r="10" customFormat="false" ht="15" hidden="false" customHeight="false" outlineLevel="0" collapsed="false">
      <c r="A10" s="10" t="s">
        <v>246</v>
      </c>
      <c r="B10" s="37" t="n">
        <f aca="false">champs*part_saisie*INDEX(tblC,MATCH(B5,codesC,0),2)</f>
        <v>1.5</v>
      </c>
      <c r="C10" s="37" t="n">
        <f aca="false">champs*part_saisie*INDEX(tblC,MATCH(C5,codesC,0),2)</f>
        <v>0</v>
      </c>
      <c r="D10" s="37" t="n">
        <f aca="false">champs*part_saisie*INDEX(tblC,MATCH(D5,codesC,0),2)</f>
        <v>0</v>
      </c>
      <c r="E10" s="8" t="s">
        <v>247</v>
      </c>
    </row>
    <row r="11" customFormat="false" ht="15" hidden="false" customHeight="false" outlineLevel="0" collapsed="false">
      <c r="A11" s="10" t="s">
        <v>248</v>
      </c>
      <c r="B11" s="37" t="n">
        <f aca="false">B7*INDEX(tblC,MATCH(B5,codesC,0),3)</f>
        <v>4.5</v>
      </c>
      <c r="C11" s="37" t="n">
        <f aca="false">C7*INDEX(tblC,MATCH(C5,codesC,0),3)</f>
        <v>0.6</v>
      </c>
      <c r="D11" s="37" t="n">
        <f aca="false">D7*INDEX(tblC,MATCH(D5,codesC,0),3)</f>
        <v>0.6</v>
      </c>
      <c r="E11" s="8"/>
    </row>
    <row r="12" customFormat="false" ht="15" hidden="false" customHeight="false" outlineLevel="0" collapsed="false">
      <c r="A12" s="10" t="s">
        <v>249</v>
      </c>
      <c r="B12" s="37" t="n">
        <f aca="false">INDEX(tblC,MATCH(B5,codesC,0),4)*B8*INDEX(tblT,MATCH(B6,codesT,0),1)</f>
        <v>2.8</v>
      </c>
      <c r="C12" s="37" t="n">
        <f aca="false">INDEX(tblC,MATCH(C5,codesC,0),4)*C8*INDEX(tblT,MATCH(C6,codesT,0),1)</f>
        <v>0.32</v>
      </c>
      <c r="D12" s="37" t="n">
        <f aca="false">INDEX(tblC,MATCH(D5,codesC,0),4)*D8*INDEX(tblT,MATCH(D6,codesT,0),1)</f>
        <v>0.32</v>
      </c>
      <c r="E12" s="8" t="s">
        <v>250</v>
      </c>
    </row>
    <row r="13" customFormat="false" ht="15" hidden="false" customHeight="false" outlineLevel="0" collapsed="false">
      <c r="A13" s="10" t="s">
        <v>251</v>
      </c>
      <c r="B13" s="37" t="n">
        <f aca="false">etapes*INDEX(tblT,MATCH(B6,codesT,0),2)</f>
        <v>4</v>
      </c>
      <c r="C13" s="37" t="n">
        <f aca="false">etapes*INDEX(tblT,MATCH(C6,codesT,0),2)</f>
        <v>0.4</v>
      </c>
      <c r="D13" s="37" t="n">
        <f aca="false">etapes*INDEX(tblT,MATCH(D6,codesT,0),2)</f>
        <v>0.6</v>
      </c>
      <c r="E13" s="8"/>
    </row>
    <row r="14" customFormat="false" ht="15" hidden="false" customHeight="false" outlineLevel="0" collapsed="false">
      <c r="A14" s="10" t="s">
        <v>252</v>
      </c>
      <c r="B14" s="37" t="n">
        <f aca="false">INDEX(tblT,MATCH(B6,codesT,0),3)</f>
        <v>2</v>
      </c>
      <c r="C14" s="37" t="n">
        <f aca="false">INDEX(tblT,MATCH(C6,codesT,0),3)</f>
        <v>0.3</v>
      </c>
      <c r="D14" s="37" t="n">
        <f aca="false">INDEX(tblT,MATCH(D6,codesT,0),3)</f>
        <v>0.5</v>
      </c>
      <c r="E14" s="8"/>
    </row>
    <row r="15" customFormat="false" ht="15" hidden="false" customHeight="false" outlineLevel="0" collapsed="false">
      <c r="A15" s="10" t="s">
        <v>253</v>
      </c>
      <c r="B15" s="37" t="n">
        <f aca="false">IF(si_aval="Oui",INDEX(tblT,MATCH(B6,codesT,0),4),0)</f>
        <v>4</v>
      </c>
      <c r="C15" s="37" t="n">
        <f aca="false">IF(si_aval="Oui",INDEX(tblT,MATCH(C6,codesT,0),4),0)</f>
        <v>0.3</v>
      </c>
      <c r="D15" s="37" t="n">
        <f aca="false">IF(si_aval="Oui",INDEX(tblT,MATCH(D6,codesT,0),4),0)</f>
        <v>4</v>
      </c>
      <c r="E15" s="8"/>
    </row>
    <row r="16" customFormat="false" ht="15" hidden="false" customHeight="false" outlineLevel="0" collapsed="false">
      <c r="A16" s="10" t="s">
        <v>254</v>
      </c>
      <c r="B16" s="37" t="n">
        <f aca="false">INDEX(tblC,MATCH(B5,codesC,0),5)</f>
        <v>0.8</v>
      </c>
      <c r="C16" s="37" t="n">
        <f aca="false">INDEX(tblC,MATCH(C5,codesC,0),5)</f>
        <v>0.1</v>
      </c>
      <c r="D16" s="37" t="n">
        <f aca="false">INDEX(tblC,MATCH(D5,codesC,0),5)</f>
        <v>0.1</v>
      </c>
      <c r="E16" s="8"/>
    </row>
    <row r="17" customFormat="false" ht="15" hidden="false" customHeight="false" outlineLevel="0" collapsed="false">
      <c r="A17" s="15" t="s">
        <v>33</v>
      </c>
      <c r="B17" s="38" t="n">
        <f aca="false">SUM(B9:B16)</f>
        <v>21.6</v>
      </c>
      <c r="C17" s="38" t="n">
        <f aca="false">SUM(C9:C16)</f>
        <v>2.22</v>
      </c>
      <c r="D17" s="38" t="n">
        <f aca="false">SUM(D9:D16)</f>
        <v>6.32</v>
      </c>
      <c r="E17" s="8"/>
    </row>
    <row r="18" customFormat="false" ht="15" hidden="false" customHeight="false" outlineLevel="0" collapsed="false">
      <c r="A18" s="15" t="s">
        <v>255</v>
      </c>
      <c r="B18" s="38" t="n">
        <f aca="false">INDEX(tblC,MATCH(B5,codesC,0),6)+champs*(1-prerempli*(B5="C5"))*INDEX(tblC,MATCH(B5,codesC,0),7)+B7*INDEX(tblC,MATCH(B5,codesC,0),8)+INDEX(tblC,MATCH(B5,codesC,0),4)*B8*u_relance</f>
        <v>33</v>
      </c>
      <c r="C18" s="38" t="n">
        <f aca="false">INDEX(tblC,MATCH(C5,codesC,0),6)+champs*(1-prerempli*(C5="C5"))*INDEX(tblC,MATCH(C5,codesC,0),7)+C7*INDEX(tblC,MATCH(C5,codesC,0),8)+INDEX(tblC,MATCH(C5,codesC,0),4)*C8*u_relance</f>
        <v>17.9</v>
      </c>
      <c r="D18" s="38" t="n">
        <f aca="false">INDEX(tblC,MATCH(D5,codesC,0),6)+champs*(1-prerempli*(D5="C5"))*INDEX(tblC,MATCH(D5,codesC,0),7)+D7*INDEX(tblC,MATCH(D5,codesC,0),8)+INDEX(tblC,MATCH(D5,codesC,0),4)*D8*u_relance</f>
        <v>17.9</v>
      </c>
      <c r="E18" s="8" t="s">
        <v>256</v>
      </c>
    </row>
    <row r="19" customFormat="false" ht="15" hidden="false" customHeight="false" outlineLevel="0" collapsed="false">
      <c r="A19" s="10" t="s">
        <v>257</v>
      </c>
      <c r="B19" s="39" t="n">
        <f aca="false">INDEX(tblC,MATCH(B5,codesC,0),10)*(1+INDEX(tblC,MATCH(B5,codesC,0),4)*B8)*tarif_lettre</f>
        <v>0</v>
      </c>
      <c r="C19" s="39" t="n">
        <f aca="false">INDEX(tblC,MATCH(C5,codesC,0),10)*(1+INDEX(tblC,MATCH(C5,codesC,0),4)*C8)*tarif_lettre</f>
        <v>0</v>
      </c>
      <c r="D19" s="39" t="n">
        <f aca="false">INDEX(tblC,MATCH(D5,codesC,0),10)*(1+INDEX(tblC,MATCH(D5,codesC,0),4)*D8)*tarif_lettre</f>
        <v>0</v>
      </c>
      <c r="E19" s="8" t="s">
        <v>258</v>
      </c>
    </row>
    <row r="20" customFormat="false" ht="15" hidden="false" customHeight="false" outlineLevel="0" collapsed="false">
      <c r="A20" s="10" t="s">
        <v>259</v>
      </c>
      <c r="B20" s="39" t="n">
        <f aca="false">(INDEX(tblT,MATCH(B6,codesT,0),5)+INDEX(tblT,MATCH(B6,codesT,0),6)*pj)*cout_page</f>
        <v>0.16</v>
      </c>
      <c r="C20" s="39" t="n">
        <f aca="false">(INDEX(tblT,MATCH(C6,codesT,0),5)+INDEX(tblT,MATCH(C6,codesT,0),6)*pj)*cout_page</f>
        <v>0</v>
      </c>
      <c r="D20" s="39" t="n">
        <f aca="false">(INDEX(tblT,MATCH(D6,codesT,0),5)+INDEX(tblT,MATCH(D6,codesT,0),6)*pj)*cout_page</f>
        <v>0</v>
      </c>
      <c r="E20" s="8"/>
    </row>
    <row r="21" customFormat="false" ht="15" hidden="false" customHeight="false" outlineLevel="0" collapsed="false">
      <c r="A21" s="10" t="s">
        <v>260</v>
      </c>
      <c r="B21" s="39" t="n">
        <f aca="false">IF(AND(B5="C0",INDEX(tblT,MATCH(B6,codesT,0),9)&gt;=2),cout_num,0)</f>
        <v>0</v>
      </c>
      <c r="C21" s="39" t="n">
        <f aca="false">IF(AND(C5="C0",INDEX(tblT,MATCH(C6,codesT,0),9)&gt;=2),cout_num,0)</f>
        <v>0</v>
      </c>
      <c r="D21" s="39" t="n">
        <f aca="false">IF(AND(D5="C0",INDEX(tblT,MATCH(D6,codesT,0),9)&gt;=2),cout_num,0)</f>
        <v>0</v>
      </c>
      <c r="E21" s="8" t="s">
        <v>261</v>
      </c>
    </row>
    <row r="22" customFormat="false" ht="15" hidden="false" customHeight="false" outlineLevel="0" collapsed="false">
      <c r="A22" s="10" t="s">
        <v>153</v>
      </c>
      <c r="B22" s="39" t="n">
        <f aca="false">INDEX(tblC,MATCH(B5,codesC,0),11)</f>
        <v>0</v>
      </c>
      <c r="C22" s="39" t="n">
        <f aca="false">INDEX(tblC,MATCH(C5,codesC,0),11)</f>
        <v>0</v>
      </c>
      <c r="D22" s="39" t="n">
        <f aca="false">INDEX(tblC,MATCH(D5,codesC,0),11)</f>
        <v>0</v>
      </c>
      <c r="E22" s="8"/>
    </row>
    <row r="23" customFormat="false" ht="15" hidden="false" customHeight="false" outlineLevel="0" collapsed="false">
      <c r="A23" s="15" t="s">
        <v>262</v>
      </c>
      <c r="B23" s="40" t="n">
        <f aca="false">SUM(B19:B22)</f>
        <v>0.16</v>
      </c>
      <c r="C23" s="40" t="n">
        <f aca="false">SUM(C19:C22)</f>
        <v>0</v>
      </c>
      <c r="D23" s="40" t="n">
        <f aca="false">SUM(D19:D22)</f>
        <v>0</v>
      </c>
      <c r="E23" s="8"/>
    </row>
    <row r="24" customFormat="false" ht="15" hidden="false" customHeight="false" outlineLevel="0" collapsed="false">
      <c r="A24" s="10" t="s">
        <v>154</v>
      </c>
      <c r="B24" s="39" t="n">
        <f aca="false">INDEX(tblC,MATCH(B5,codesC,0),12)</f>
        <v>0</v>
      </c>
      <c r="C24" s="39" t="n">
        <f aca="false">INDEX(tblC,MATCH(C5,codesC,0),12)</f>
        <v>0</v>
      </c>
      <c r="D24" s="39" t="n">
        <f aca="false">INDEX(tblC,MATCH(D5,codesC,0),12)</f>
        <v>0</v>
      </c>
      <c r="E24" s="8"/>
    </row>
    <row r="25" customFormat="false" ht="15" hidden="false" customHeight="false" outlineLevel="0" collapsed="false">
      <c r="A25" s="15" t="s">
        <v>263</v>
      </c>
      <c r="B25" s="41" t="n">
        <f aca="false">INDEX(tblC,MATCH(B5,codesC,0),9)+INDEX(tblC,MATCH(B5,codesC,0),4)*B8*INDEX(tblT,MATCH(B6,codesT,0),7)+etapes*INDEX(tblT,MATCH(B6,codesT,0),8)</f>
        <v>13.8</v>
      </c>
      <c r="C25" s="41" t="n">
        <f aca="false">INDEX(tblC,MATCH(C5,codesC,0),9)+INDEX(tblC,MATCH(C5,codesC,0),4)*C8*INDEX(tblT,MATCH(C6,codesT,0),7)+etapes*INDEX(tblT,MATCH(C6,codesT,0),8)</f>
        <v>2.8</v>
      </c>
      <c r="D25" s="41" t="n">
        <f aca="false">INDEX(tblC,MATCH(D5,codesC,0),9)+INDEX(tblC,MATCH(D5,codesC,0),4)*D8*INDEX(tblT,MATCH(D6,codesT,0),7)+etapes*INDEX(tblT,MATCH(D6,codesT,0),8)</f>
        <v>3.8</v>
      </c>
      <c r="E25" s="8" t="s">
        <v>264</v>
      </c>
    </row>
    <row r="26" customFormat="false" ht="15" hidden="false" customHeight="false" outlineLevel="0" collapsed="false">
      <c r="A26" s="1"/>
      <c r="B26" s="1"/>
      <c r="C26" s="1"/>
      <c r="D26" s="1"/>
      <c r="E26" s="1"/>
    </row>
    <row r="27" customFormat="false" ht="15" hidden="false" customHeight="false" outlineLevel="0" collapsed="false">
      <c r="A27" s="20" t="s">
        <v>265</v>
      </c>
      <c r="B27" s="1"/>
      <c r="C27" s="1"/>
      <c r="D27" s="1"/>
      <c r="E27" s="1"/>
    </row>
    <row r="28" customFormat="false" ht="15" hidden="false" customHeight="false" outlineLevel="0" collapsed="false">
      <c r="A28" s="10" t="s">
        <v>221</v>
      </c>
      <c r="B28" s="36" t="n">
        <f aca="false">INDEX(scen_tab,MATCH(scenario,scen_noms,0),1)</f>
        <v>1</v>
      </c>
      <c r="C28" s="1"/>
      <c r="D28" s="1"/>
      <c r="E28" s="1"/>
    </row>
    <row r="29" customFormat="false" ht="15" hidden="false" customHeight="false" outlineLevel="0" collapsed="false">
      <c r="A29" s="10" t="s">
        <v>266</v>
      </c>
      <c r="B29" s="28" t="n">
        <f aca="false">INDEX(scen_tab,MATCH(scenario,scen_noms,0),2)</f>
        <v>0.35</v>
      </c>
      <c r="C29" s="1"/>
      <c r="D29" s="1"/>
      <c r="E29" s="1"/>
    </row>
    <row r="30" customFormat="false" ht="15" hidden="false" customHeight="false" outlineLevel="0" collapsed="false">
      <c r="A30" s="10" t="s">
        <v>223</v>
      </c>
      <c r="B30" s="28" t="n">
        <f aca="false">INDEX(scen_tab,MATCH(scenario,scen_noms,0),3)</f>
        <v>0.8</v>
      </c>
      <c r="C30" s="1"/>
      <c r="D30" s="1"/>
      <c r="E30" s="1"/>
    </row>
    <row r="31" customFormat="false" ht="15" hidden="false" customHeight="false" outlineLevel="0" collapsed="false">
      <c r="A31" s="10" t="s">
        <v>267</v>
      </c>
      <c r="B31" s="42" t="n">
        <f aca="false">IF(rep_tot&gt;0,(rep_A*cout_A+rep_B*cout_B+rep_C*cout_C)/rep_tot,cout_B)</f>
        <v>60400</v>
      </c>
      <c r="C31" s="1"/>
      <c r="D31" s="1"/>
      <c r="E31" s="1"/>
    </row>
    <row r="32" customFormat="false" ht="15" hidden="false" customHeight="false" outlineLevel="0" collapsed="false">
      <c r="A32" s="10" t="s">
        <v>268</v>
      </c>
      <c r="B32" s="39" t="n">
        <f aca="false">cout_etp/h_etp</f>
        <v>37.5855631611699</v>
      </c>
      <c r="C32" s="1"/>
      <c r="D32" s="1"/>
      <c r="E32" s="1"/>
    </row>
    <row r="33" customFormat="false" ht="15" hidden="false" customHeight="false" outlineLevel="0" collapsed="false">
      <c r="A33" s="10" t="s">
        <v>269</v>
      </c>
      <c r="B33" s="39" t="n">
        <f aca="false">pp_share*rate_pp+(1-pp_share)*rate_pm</f>
        <v>33.474</v>
      </c>
      <c r="C33" s="1"/>
      <c r="D33" s="1"/>
      <c r="E33" s="1"/>
    </row>
    <row r="34" customFormat="false" ht="15" hidden="false" customHeight="false" outlineLevel="0" collapsed="false">
      <c r="A34" s="1"/>
      <c r="B34" s="1"/>
      <c r="C34" s="1"/>
      <c r="D34" s="1"/>
      <c r="E34" s="1"/>
    </row>
    <row r="35" customFormat="false" ht="15" hidden="false" customHeight="false" outlineLevel="0" collapsed="false">
      <c r="A35" s="20" t="s">
        <v>270</v>
      </c>
      <c r="B35" s="1"/>
      <c r="C35" s="1"/>
      <c r="D35" s="1"/>
      <c r="E35" s="1"/>
    </row>
    <row r="36" customFormat="false" ht="15" hidden="false" customHeight="false" outlineLevel="0" collapsed="false">
      <c r="A36" s="9" t="s">
        <v>271</v>
      </c>
      <c r="B36" s="9"/>
      <c r="C36" s="9" t="s">
        <v>272</v>
      </c>
      <c r="D36" s="9" t="s">
        <v>238</v>
      </c>
      <c r="E36" s="9"/>
    </row>
    <row r="37" customFormat="false" ht="15" hidden="false" customHeight="false" outlineLevel="0" collapsed="false">
      <c r="A37" s="10" t="s">
        <v>273</v>
      </c>
      <c r="B37" s="1"/>
      <c r="C37" s="37" t="n">
        <f aca="false">MAX(0,B17-C17)*s_fact</f>
        <v>19.38</v>
      </c>
      <c r="D37" s="37" t="n">
        <f aca="false">MAX(0,B17-D17)*s_fact</f>
        <v>15.28</v>
      </c>
      <c r="E37" s="1"/>
    </row>
    <row r="38" customFormat="false" ht="15" hidden="false" customHeight="false" outlineLevel="0" collapsed="false">
      <c r="A38" s="10" t="s">
        <v>274</v>
      </c>
      <c r="B38" s="1"/>
      <c r="C38" s="37" t="n">
        <f aca="false">MAX(0,B18-C18)*s_fact</f>
        <v>15.1</v>
      </c>
      <c r="D38" s="37" t="n">
        <f aca="false">MAX(0,B18-D18)*s_fact</f>
        <v>15.1</v>
      </c>
      <c r="E38" s="1"/>
    </row>
    <row r="39" customFormat="false" ht="15" hidden="false" customHeight="false" outlineLevel="0" collapsed="false">
      <c r="A39" s="10" t="s">
        <v>275</v>
      </c>
      <c r="B39" s="1"/>
      <c r="C39" s="39" t="n">
        <f aca="false">B23-C23</f>
        <v>0.16</v>
      </c>
      <c r="D39" s="39" t="n">
        <f aca="false">B23-D23</f>
        <v>0.16</v>
      </c>
      <c r="E39" s="1"/>
    </row>
    <row r="40" customFormat="false" ht="15" hidden="false" customHeight="false" outlineLevel="0" collapsed="false">
      <c r="A40" s="10" t="s">
        <v>276</v>
      </c>
      <c r="B40" s="1"/>
      <c r="C40" s="43" t="n">
        <f aca="false">dossiers*s_adopt</f>
        <v>32000</v>
      </c>
      <c r="D40" s="43" t="n">
        <f aca="false">dossiers*s_adopt</f>
        <v>32000</v>
      </c>
      <c r="E40" s="1"/>
    </row>
    <row r="41" customFormat="false" ht="15" hidden="false" customHeight="false" outlineLevel="0" collapsed="false">
      <c r="A41" s="10" t="s">
        <v>277</v>
      </c>
      <c r="B41" s="1"/>
      <c r="C41" s="43" t="n">
        <f aca="false">nB_p*dA_p/60</f>
        <v>10336</v>
      </c>
      <c r="D41" s="43" t="n">
        <f aca="false">nB_r*dA_r/60</f>
        <v>8149.33333333333</v>
      </c>
      <c r="E41" s="1"/>
    </row>
    <row r="42" customFormat="false" ht="15" hidden="false" customHeight="false" outlineLevel="0" collapsed="false">
      <c r="A42" s="15" t="s">
        <v>39</v>
      </c>
      <c r="B42" s="1"/>
      <c r="C42" s="44" t="n">
        <f aca="false">hL_p/h_etp</f>
        <v>6.43186060983199</v>
      </c>
      <c r="D42" s="44" t="n">
        <f aca="false">hL_r/h_etp</f>
        <v>5.07114706492429</v>
      </c>
      <c r="E42" s="1"/>
    </row>
    <row r="43" customFormat="false" ht="15" hidden="false" customHeight="false" outlineLevel="0" collapsed="false">
      <c r="A43" s="10" t="s">
        <v>278</v>
      </c>
      <c r="B43" s="1"/>
      <c r="C43" s="36" t="n">
        <f aca="false">etpL_p*s_conv</f>
        <v>2.2511512134412</v>
      </c>
      <c r="D43" s="36" t="n">
        <f aca="false">etpL_r*s_conv</f>
        <v>1.7749014727235</v>
      </c>
      <c r="E43" s="1"/>
    </row>
    <row r="44" customFormat="false" ht="15" hidden="false" customHeight="false" outlineLevel="0" collapsed="false">
      <c r="A44" s="10" t="s">
        <v>279</v>
      </c>
      <c r="B44" s="1"/>
      <c r="C44" s="36" t="n">
        <f aca="false">etpL_p-etpS_p</f>
        <v>4.18070939639079</v>
      </c>
      <c r="D44" s="36" t="n">
        <f aca="false">etpL_r-etpS_r</f>
        <v>3.29624559220079</v>
      </c>
      <c r="E44" s="1"/>
    </row>
    <row r="45" customFormat="false" ht="15" hidden="false" customHeight="false" outlineLevel="0" collapsed="false">
      <c r="A45" s="10" t="s">
        <v>280</v>
      </c>
      <c r="B45" s="1"/>
      <c r="C45" s="42" t="n">
        <f aca="false">etpS_p*cout_etp</f>
        <v>135969.533291848</v>
      </c>
      <c r="D45" s="42" t="n">
        <f aca="false">etpS_r*cout_etp</f>
        <v>107204.048952499</v>
      </c>
      <c r="E45" s="1"/>
    </row>
    <row r="46" customFormat="false" ht="15" hidden="false" customHeight="false" outlineLevel="0" collapsed="false">
      <c r="A46" s="10" t="s">
        <v>281</v>
      </c>
      <c r="B46" s="1"/>
      <c r="C46" s="42" t="n">
        <f aca="false">etpR_p*cout_etp</f>
        <v>252514.847542004</v>
      </c>
      <c r="D46" s="42" t="n">
        <f aca="false">etpR_r*cout_etp</f>
        <v>199093.233768928</v>
      </c>
      <c r="E46" s="1"/>
    </row>
    <row r="47" customFormat="false" ht="15" hidden="false" customHeight="false" outlineLevel="0" collapsed="false">
      <c r="A47" s="10" t="s">
        <v>282</v>
      </c>
      <c r="B47" s="1"/>
      <c r="C47" s="42" t="n">
        <f aca="false">nB_p*dFR_p</f>
        <v>5120</v>
      </c>
      <c r="D47" s="42" t="n">
        <f aca="false">nB_r*dFR_r</f>
        <v>5120</v>
      </c>
      <c r="E47" s="1"/>
    </row>
    <row r="48" customFormat="false" ht="15" hidden="false" customHeight="false" outlineLevel="0" collapsed="false">
      <c r="A48" s="10" t="s">
        <v>283</v>
      </c>
      <c r="B48" s="1"/>
      <c r="C48" s="42" t="n">
        <f aca="false">nB_p*($B$19-C19)</f>
        <v>0</v>
      </c>
      <c r="D48" s="42" t="n">
        <f aca="false">nB_r*($B$19-D19)</f>
        <v>0</v>
      </c>
      <c r="E48" s="1"/>
    </row>
    <row r="49" customFormat="false" ht="15" hidden="false" customHeight="false" outlineLevel="0" collapsed="false">
      <c r="A49" s="10" t="s">
        <v>284</v>
      </c>
      <c r="B49" s="1"/>
      <c r="C49" s="42" t="n">
        <f aca="false">nB_p*($B$20-C20)</f>
        <v>5120</v>
      </c>
      <c r="D49" s="42" t="n">
        <f aca="false">nB_r*($B$20-D20)</f>
        <v>5120</v>
      </c>
      <c r="E49" s="1"/>
    </row>
    <row r="50" customFormat="false" ht="15" hidden="false" customHeight="false" outlineLevel="0" collapsed="false">
      <c r="A50" s="10" t="s">
        <v>285</v>
      </c>
      <c r="B50" s="1"/>
      <c r="C50" s="42" t="n">
        <f aca="false">nB_p*($B$21-C21)</f>
        <v>0</v>
      </c>
      <c r="D50" s="42" t="n">
        <f aca="false">nB_r*($B$21-D21)</f>
        <v>0</v>
      </c>
      <c r="E50" s="1"/>
    </row>
    <row r="51" customFormat="false" ht="15" hidden="false" customHeight="false" outlineLevel="0" collapsed="false">
      <c r="A51" s="10" t="s">
        <v>286</v>
      </c>
      <c r="B51" s="1"/>
      <c r="C51" s="42" t="n">
        <f aca="false">nB_p*($B$22-C22)</f>
        <v>0</v>
      </c>
      <c r="D51" s="42" t="n">
        <f aca="false">nB_r*($B$22-D22)</f>
        <v>0</v>
      </c>
      <c r="E51" s="1"/>
    </row>
    <row r="52" customFormat="false" ht="15" hidden="false" customHeight="false" outlineLevel="0" collapsed="false">
      <c r="A52" s="10" t="s">
        <v>287</v>
      </c>
      <c r="B52" s="1"/>
      <c r="C52" s="42" t="n">
        <f aca="false">nB_p*(dU_p/60*rate_u+$B$24-C24)</f>
        <v>269577.28</v>
      </c>
      <c r="D52" s="42" t="n">
        <f aca="false">nB_r*(dU_r/60*rate_u+$B$24-D24)</f>
        <v>269577.28</v>
      </c>
      <c r="E52" s="1"/>
    </row>
    <row r="53" customFormat="false" ht="15" hidden="false" customHeight="false" outlineLevel="0" collapsed="false">
      <c r="A53" s="10" t="s">
        <v>288</v>
      </c>
      <c r="B53" s="1"/>
      <c r="C53" s="45" t="n">
        <f aca="false">MAX(0,B25-C25)</f>
        <v>11</v>
      </c>
      <c r="D53" s="45" t="n">
        <f aca="false">MAX(0,B25-D25)</f>
        <v>10</v>
      </c>
      <c r="E53" s="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5" min="2" style="0" width="20"/>
  </cols>
  <sheetData>
    <row r="1" customFormat="false" ht="17.35" hidden="false" customHeight="false" outlineLevel="0" collapsed="false">
      <c r="A1" s="7" t="s">
        <v>289</v>
      </c>
      <c r="B1" s="1"/>
      <c r="C1" s="1"/>
      <c r="D1" s="1"/>
      <c r="E1" s="1"/>
    </row>
    <row r="2" customFormat="false" ht="15" hidden="false" customHeight="false" outlineLevel="0" collapsed="false">
      <c r="A2" s="8" t="s">
        <v>290</v>
      </c>
      <c r="B2" s="1"/>
      <c r="C2" s="1"/>
      <c r="D2" s="1"/>
      <c r="E2" s="1"/>
    </row>
    <row r="3" customFormat="false" ht="15" hidden="false" customHeight="false" outlineLevel="0" collapsed="false">
      <c r="A3" s="20" t="str">
        <f aca="false">"Départ : "&amp;dep_C&amp;" / "&amp;dep_T&amp;"    →    Cible : "&amp;cib_C&amp;" / "&amp;cib_T&amp;"    ·    scénario "&amp;scenario</f>
        <v>Départ : C2 / T1    →    Cible : C4 / T3    ·    scénario centrale</v>
      </c>
      <c r="B3" s="1"/>
      <c r="C3" s="1"/>
      <c r="D3" s="1"/>
      <c r="E3" s="1"/>
    </row>
    <row r="4" customFormat="false" ht="15" hidden="false" customHeight="false" outlineLevel="0" collapsed="false">
      <c r="A4" s="1"/>
      <c r="B4" s="1"/>
      <c r="C4" s="1"/>
      <c r="D4" s="1"/>
      <c r="E4" s="1"/>
    </row>
    <row r="5" customFormat="false" ht="15" hidden="false" customHeight="false" outlineLevel="0" collapsed="false">
      <c r="A5" s="20" t="s">
        <v>291</v>
      </c>
      <c r="B5" s="1"/>
      <c r="C5" s="1"/>
      <c r="D5" s="1"/>
      <c r="E5" s="1"/>
    </row>
    <row r="6" customFormat="false" ht="15" hidden="false" customHeight="false" outlineLevel="0" collapsed="false">
      <c r="A6" s="1"/>
      <c r="B6" s="46" t="s">
        <v>179</v>
      </c>
      <c r="C6" s="46" t="s">
        <v>85</v>
      </c>
      <c r="D6" s="46" t="s">
        <v>106</v>
      </c>
      <c r="E6" s="46" t="s">
        <v>89</v>
      </c>
    </row>
    <row r="7" customFormat="false" ht="27.75" hidden="false" customHeight="true" outlineLevel="0" collapsed="false">
      <c r="A7" s="1"/>
      <c r="B7" s="47" t="s">
        <v>180</v>
      </c>
      <c r="C7" s="47" t="s">
        <v>181</v>
      </c>
      <c r="D7" s="47" t="s">
        <v>182</v>
      </c>
      <c r="E7" s="47" t="s">
        <v>183</v>
      </c>
    </row>
    <row r="8" customFormat="false" ht="15" hidden="false" customHeight="false" outlineLevel="0" collapsed="false">
      <c r="A8" s="20" t="s">
        <v>12</v>
      </c>
      <c r="B8" s="48" t="n">
        <f aca="false">INDEX(tblC,MATCH("C0",codesC,0),1)+champs*part_saisie*INDEX(tblC,MATCH("C0",codesC,0),2)+pj*(1-pj_api*("C0"="C5"))*INDEX(tblC,MATCH("C0",codesC,0),3)+INDEX(tblC,MATCH("C0",codesC,0),4)*(1+relance_par_pj*pj*(1-pj_api*("C0"="C5")))*INDEX(tblT,MATCH("T0",codesT,0),1)+etapes*INDEX(tblT,MATCH("T0",codesT,0),2)+INDEX(tblT,MATCH("T0",codesT,0),3)+IF(si_aval="Oui",INDEX(tblT,MATCH("T0",codesT,0),4),0)+INDEX(tblC,MATCH("C0",codesC,0),5)</f>
        <v>28.64</v>
      </c>
      <c r="C8" s="48" t="n">
        <f aca="false">INDEX(tblC,MATCH("C0",codesC,0),1)+champs*part_saisie*INDEX(tblC,MATCH("C0",codesC,0),2)+pj*(1-pj_api*("C0"="C5"))*INDEX(tblC,MATCH("C0",codesC,0),3)+INDEX(tblC,MATCH("C0",codesC,0),4)*(1+relance_par_pj*pj*(1-pj_api*("C0"="C5")))*INDEX(tblT,MATCH("T1",codesT,0),1)+etapes*INDEX(tblT,MATCH("T1",codesT,0),2)+INDEX(tblT,MATCH("T1",codesT,0),3)+IF(si_aval="Oui",INDEX(tblT,MATCH("T1",codesT,0),4),0)+INDEX(tblC,MATCH("C0",codesC,0),5)</f>
        <v>26.66</v>
      </c>
      <c r="D8" s="48" t="n">
        <f aca="false">INDEX(tblC,MATCH("C0",codesC,0),1)+champs*part_saisie*INDEX(tblC,MATCH("C0",codesC,0),2)+pj*(1-pj_api*("C0"="C5"))*INDEX(tblC,MATCH("C0",codesC,0),3)+INDEX(tblC,MATCH("C0",codesC,0),4)*(1+relance_par_pj*pj*(1-pj_api*("C0"="C5")))*INDEX(tblT,MATCH("T2",codesT,0),1)+etapes*INDEX(tblT,MATCH("T2",codesT,0),2)+INDEX(tblT,MATCH("T2",codesT,0),3)+IF(si_aval="Oui",INDEX(tblT,MATCH("T2",codesT,0),4),0)+INDEX(tblC,MATCH("C0",codesC,0),5)</f>
        <v>19.36</v>
      </c>
      <c r="E8" s="48" t="n">
        <f aca="false">INDEX(tblC,MATCH("C0",codesC,0),1)+champs*part_saisie*INDEX(tblC,MATCH("C0",codesC,0),2)+pj*(1-pj_api*("C0"="C5"))*INDEX(tblC,MATCH("C0",codesC,0),3)+INDEX(tblC,MATCH("C0",codesC,0),4)*(1+relance_par_pj*pj*(1-pj_api*("C0"="C5")))*INDEX(tblT,MATCH("T3",codesT,0),1)+etapes*INDEX(tblT,MATCH("T3",codesT,0),2)+INDEX(tblT,MATCH("T3",codesT,0),3)+IF(si_aval="Oui",INDEX(tblT,MATCH("T3",codesT,0),4),0)+INDEX(tblC,MATCH("C0",codesC,0),5)</f>
        <v>15.26</v>
      </c>
    </row>
    <row r="9" customFormat="false" ht="15" hidden="false" customHeight="false" outlineLevel="0" collapsed="false">
      <c r="A9" s="20" t="s">
        <v>13</v>
      </c>
      <c r="B9" s="48" t="n">
        <f aca="false">INDEX(tblC,MATCH("C1",codesC,0),1)+champs*part_saisie*INDEX(tblC,MATCH("C1",codesC,0),2)+pj*(1-pj_api*("C1"="C5"))*INDEX(tblC,MATCH("C1",codesC,0),3)+INDEX(tblC,MATCH("C1",codesC,0),4)*(1+relance_par_pj*pj*(1-pj_api*("C1"="C5")))*INDEX(tblT,MATCH("T0",codesT,0),1)+etapes*INDEX(tblT,MATCH("T0",codesT,0),2)+INDEX(tblT,MATCH("T0",codesT,0),3)+IF(si_aval="Oui",INDEX(tblT,MATCH("T0",codesT,0),4),0)+INDEX(tblC,MATCH("C1",codesC,0),5)</f>
        <v>26.28</v>
      </c>
      <c r="C9" s="48" t="n">
        <f aca="false">INDEX(tblC,MATCH("C1",codesC,0),1)+champs*part_saisie*INDEX(tblC,MATCH("C1",codesC,0),2)+pj*(1-pj_api*("C1"="C5"))*INDEX(tblC,MATCH("C1",codesC,0),3)+INDEX(tblC,MATCH("C1",codesC,0),4)*(1+relance_par_pj*pj*(1-pj_api*("C1"="C5")))*INDEX(tblT,MATCH("T1",codesT,0),1)+etapes*INDEX(tblT,MATCH("T1",codesT,0),2)+INDEX(tblT,MATCH("T1",codesT,0),3)+IF(si_aval="Oui",INDEX(tblT,MATCH("T1",codesT,0),4),0)+INDEX(tblC,MATCH("C1",codesC,0),5)</f>
        <v>24.22</v>
      </c>
      <c r="D9" s="48" t="n">
        <f aca="false">INDEX(tblC,MATCH("C1",codesC,0),1)+champs*part_saisie*INDEX(tblC,MATCH("C1",codesC,0),2)+pj*(1-pj_api*("C1"="C5"))*INDEX(tblC,MATCH("C1",codesC,0),3)+INDEX(tblC,MATCH("C1",codesC,0),4)*(1+relance_par_pj*pj*(1-pj_api*("C1"="C5")))*INDEX(tblT,MATCH("T2",codesT,0),1)+etapes*INDEX(tblT,MATCH("T2",codesT,0),2)+INDEX(tblT,MATCH("T2",codesT,0),3)+IF(si_aval="Oui",INDEX(tblT,MATCH("T2",codesT,0),4),0)+INDEX(tblC,MATCH("C1",codesC,0),5)</f>
        <v>16.52</v>
      </c>
      <c r="E9" s="48" t="n">
        <f aca="false">INDEX(tblC,MATCH("C1",codesC,0),1)+champs*part_saisie*INDEX(tblC,MATCH("C1",codesC,0),2)+pj*(1-pj_api*("C1"="C5"))*INDEX(tblC,MATCH("C1",codesC,0),3)+INDEX(tblC,MATCH("C1",codesC,0),4)*(1+relance_par_pj*pj*(1-pj_api*("C1"="C5")))*INDEX(tblT,MATCH("T3",codesT,0),1)+etapes*INDEX(tblT,MATCH("T3",codesT,0),2)+INDEX(tblT,MATCH("T3",codesT,0),3)+IF(si_aval="Oui",INDEX(tblT,MATCH("T3",codesT,0),4),0)+INDEX(tblC,MATCH("C1",codesC,0),5)</f>
        <v>12.42</v>
      </c>
    </row>
    <row r="10" customFormat="false" ht="15" hidden="false" customHeight="false" outlineLevel="0" collapsed="false">
      <c r="A10" s="20" t="s">
        <v>14</v>
      </c>
      <c r="B10" s="48" t="n">
        <f aca="false">INDEX(tblC,MATCH("C2",codesC,0),1)+champs*part_saisie*INDEX(tblC,MATCH("C2",codesC,0),2)+pj*(1-pj_api*("C2"="C5"))*INDEX(tblC,MATCH("C2",codesC,0),3)+INDEX(tblC,MATCH("C2",codesC,0),4)*(1+relance_par_pj*pj*(1-pj_api*("C2"="C5")))*INDEX(tblT,MATCH("T0",codesT,0),1)+etapes*INDEX(tblT,MATCH("T0",codesT,0),2)+INDEX(tblT,MATCH("T0",codesT,0),3)+IF(si_aval="Oui",INDEX(tblT,MATCH("T0",codesT,0),4),0)+INDEX(tblC,MATCH("C2",codesC,0),5)</f>
        <v>23.5</v>
      </c>
      <c r="C10" s="48" t="n">
        <f aca="false">INDEX(tblC,MATCH("C2",codesC,0),1)+champs*part_saisie*INDEX(tblC,MATCH("C2",codesC,0),2)+pj*(1-pj_api*("C2"="C5"))*INDEX(tblC,MATCH("C2",codesC,0),3)+INDEX(tblC,MATCH("C2",codesC,0),4)*(1+relance_par_pj*pj*(1-pj_api*("C2"="C5")))*INDEX(tblT,MATCH("T1",codesT,0),1)+etapes*INDEX(tblT,MATCH("T1",codesT,0),2)+INDEX(tblT,MATCH("T1",codesT,0),3)+IF(si_aval="Oui",INDEX(tblT,MATCH("T1",codesT,0),4),0)+INDEX(tblC,MATCH("C2",codesC,0),5)</f>
        <v>21.6</v>
      </c>
      <c r="D10" s="48" t="n">
        <f aca="false">INDEX(tblC,MATCH("C2",codesC,0),1)+champs*part_saisie*INDEX(tblC,MATCH("C2",codesC,0),2)+pj*(1-pj_api*("C2"="C5"))*INDEX(tblC,MATCH("C2",codesC,0),3)+INDEX(tblC,MATCH("C2",codesC,0),4)*(1+relance_par_pj*pj*(1-pj_api*("C2"="C5")))*INDEX(tblT,MATCH("T2",codesT,0),1)+etapes*INDEX(tblT,MATCH("T2",codesT,0),2)+INDEX(tblT,MATCH("T2",codesT,0),3)+IF(si_aval="Oui",INDEX(tblT,MATCH("T2",codesT,0),4),0)+INDEX(tblC,MATCH("C2",codesC,0),5)</f>
        <v>14.7</v>
      </c>
      <c r="E10" s="48" t="n">
        <f aca="false">INDEX(tblC,MATCH("C2",codesC,0),1)+champs*part_saisie*INDEX(tblC,MATCH("C2",codesC,0),2)+pj*(1-pj_api*("C2"="C5"))*INDEX(tblC,MATCH("C2",codesC,0),3)+INDEX(tblC,MATCH("C2",codesC,0),4)*(1+relance_par_pj*pj*(1-pj_api*("C2"="C5")))*INDEX(tblT,MATCH("T3",codesT,0),1)+etapes*INDEX(tblT,MATCH("T3",codesT,0),2)+INDEX(tblT,MATCH("T3",codesT,0),3)+IF(si_aval="Oui",INDEX(tblT,MATCH("T3",codesT,0),4),0)+INDEX(tblC,MATCH("C2",codesC,0),5)</f>
        <v>10.6</v>
      </c>
    </row>
    <row r="11" customFormat="false" ht="15" hidden="false" customHeight="false" outlineLevel="0" collapsed="false">
      <c r="A11" s="20" t="s">
        <v>15</v>
      </c>
      <c r="B11" s="48" t="n">
        <f aca="false">INDEX(tblC,MATCH("C3",codesC,0),1)+champs*part_saisie*INDEX(tblC,MATCH("C3",codesC,0),2)+pj*(1-pj_api*("C3"="C5"))*INDEX(tblC,MATCH("C3",codesC,0),3)+INDEX(tblC,MATCH("C3",codesC,0),4)*(1+relance_par_pj*pj*(1-pj_api*("C3"="C5")))*INDEX(tblT,MATCH("T0",codesT,0),1)+etapes*INDEX(tblT,MATCH("T0",codesT,0),2)+INDEX(tblT,MATCH("T0",codesT,0),3)+IF(si_aval="Oui",INDEX(tblT,MATCH("T0",codesT,0),4),0)+INDEX(tblC,MATCH("C3",codesC,0),5)</f>
        <v>18.46</v>
      </c>
      <c r="C11" s="48" t="n">
        <f aca="false">INDEX(tblC,MATCH("C3",codesC,0),1)+champs*part_saisie*INDEX(tblC,MATCH("C3",codesC,0),2)+pj*(1-pj_api*("C3"="C5"))*INDEX(tblC,MATCH("C3",codesC,0),3)+INDEX(tblC,MATCH("C3",codesC,0),4)*(1+relance_par_pj*pj*(1-pj_api*("C3"="C5")))*INDEX(tblT,MATCH("T1",codesT,0),1)+etapes*INDEX(tblT,MATCH("T1",codesT,0),2)+INDEX(tblT,MATCH("T1",codesT,0),3)+IF(si_aval="Oui",INDEX(tblT,MATCH("T1",codesT,0),4),0)+INDEX(tblC,MATCH("C3",codesC,0),5)</f>
        <v>16.64</v>
      </c>
      <c r="D11" s="48" t="n">
        <f aca="false">INDEX(tblC,MATCH("C3",codesC,0),1)+champs*part_saisie*INDEX(tblC,MATCH("C3",codesC,0),2)+pj*(1-pj_api*("C3"="C5"))*INDEX(tblC,MATCH("C3",codesC,0),3)+INDEX(tblC,MATCH("C3",codesC,0),4)*(1+relance_par_pj*pj*(1-pj_api*("C3"="C5")))*INDEX(tblT,MATCH("T2",codesT,0),1)+etapes*INDEX(tblT,MATCH("T2",codesT,0),2)+INDEX(tblT,MATCH("T2",codesT,0),3)+IF(si_aval="Oui",INDEX(tblT,MATCH("T2",codesT,0),4),0)+INDEX(tblC,MATCH("C3",codesC,0),5)</f>
        <v>10.14</v>
      </c>
      <c r="E11" s="48" t="n">
        <f aca="false">INDEX(tblC,MATCH("C3",codesC,0),1)+champs*part_saisie*INDEX(tblC,MATCH("C3",codesC,0),2)+pj*(1-pj_api*("C3"="C5"))*INDEX(tblC,MATCH("C3",codesC,0),3)+INDEX(tblC,MATCH("C3",codesC,0),4)*(1+relance_par_pj*pj*(1-pj_api*("C3"="C5")))*INDEX(tblT,MATCH("T3",codesT,0),1)+etapes*INDEX(tblT,MATCH("T3",codesT,0),2)+INDEX(tblT,MATCH("T3",codesT,0),3)+IF(si_aval="Oui",INDEX(tblT,MATCH("T3",codesT,0),4),0)+INDEX(tblC,MATCH("C3",codesC,0),5)</f>
        <v>6.04</v>
      </c>
    </row>
    <row r="12" customFormat="false" ht="15" hidden="false" customHeight="false" outlineLevel="0" collapsed="false">
      <c r="A12" s="20" t="s">
        <v>16</v>
      </c>
      <c r="B12" s="48" t="n">
        <f aca="false">INDEX(tblC,MATCH("C4",codesC,0),1)+champs*part_saisie*INDEX(tblC,MATCH("C4",codesC,0),2)+pj*(1-pj_api*("C4"="C5"))*INDEX(tblC,MATCH("C4",codesC,0),3)+INDEX(tblC,MATCH("C4",codesC,0),4)*(1+relance_par_pj*pj*(1-pj_api*("C4"="C5")))*INDEX(tblT,MATCH("T0",codesT,0),1)+etapes*INDEX(tblT,MATCH("T0",codesT,0),2)+INDEX(tblT,MATCH("T0",codesT,0),3)+IF(si_aval="Oui",INDEX(tblT,MATCH("T0",codesT,0),4),0)+INDEX(tblC,MATCH("C4",codesC,0),5)</f>
        <v>13.68</v>
      </c>
      <c r="C12" s="48" t="n">
        <f aca="false">INDEX(tblC,MATCH("C4",codesC,0),1)+champs*part_saisie*INDEX(tblC,MATCH("C4",codesC,0),2)+pj*(1-pj_api*("C4"="C5"))*INDEX(tblC,MATCH("C4",codesC,0),3)+INDEX(tblC,MATCH("C4",codesC,0),4)*(1+relance_par_pj*pj*(1-pj_api*("C4"="C5")))*INDEX(tblT,MATCH("T1",codesT,0),1)+etapes*INDEX(tblT,MATCH("T1",codesT,0),2)+INDEX(tblT,MATCH("T1",codesT,0),3)+IF(si_aval="Oui",INDEX(tblT,MATCH("T1",codesT,0),4),0)+INDEX(tblC,MATCH("C4",codesC,0),5)</f>
        <v>12.02</v>
      </c>
      <c r="D12" s="48" t="n">
        <f aca="false">INDEX(tblC,MATCH("C4",codesC,0),1)+champs*part_saisie*INDEX(tblC,MATCH("C4",codesC,0),2)+pj*(1-pj_api*("C4"="C5"))*INDEX(tblC,MATCH("C4",codesC,0),3)+INDEX(tblC,MATCH("C4",codesC,0),4)*(1+relance_par_pj*pj*(1-pj_api*("C4"="C5")))*INDEX(tblT,MATCH("T2",codesT,0),1)+etapes*INDEX(tblT,MATCH("T2",codesT,0),2)+INDEX(tblT,MATCH("T2",codesT,0),3)+IF(si_aval="Oui",INDEX(tblT,MATCH("T2",codesT,0),4),0)+INDEX(tblC,MATCH("C4",codesC,0),5)</f>
        <v>6.32</v>
      </c>
      <c r="E12" s="48" t="n">
        <f aca="false">INDEX(tblC,MATCH("C4",codesC,0),1)+champs*part_saisie*INDEX(tblC,MATCH("C4",codesC,0),2)+pj*(1-pj_api*("C4"="C5"))*INDEX(tblC,MATCH("C4",codesC,0),3)+INDEX(tblC,MATCH("C4",codesC,0),4)*(1+relance_par_pj*pj*(1-pj_api*("C4"="C5")))*INDEX(tblT,MATCH("T3",codesT,0),1)+etapes*INDEX(tblT,MATCH("T3",codesT,0),2)+INDEX(tblT,MATCH("T3",codesT,0),3)+IF(si_aval="Oui",INDEX(tblT,MATCH("T3",codesT,0),4),0)+INDEX(tblC,MATCH("C4",codesC,0),5)</f>
        <v>2.22</v>
      </c>
    </row>
    <row r="13" customFormat="false" ht="15" hidden="false" customHeight="false" outlineLevel="0" collapsed="false">
      <c r="A13" s="20" t="s">
        <v>17</v>
      </c>
      <c r="B13" s="48" t="n">
        <f aca="false">INDEX(tblC,MATCH("C5",codesC,0),1)+champs*part_saisie*INDEX(tblC,MATCH("C5",codesC,0),2)+pj*(1-pj_api*("C5"="C5"))*INDEX(tblC,MATCH("C5",codesC,0),3)+INDEX(tblC,MATCH("C5",codesC,0),4)*(1+relance_par_pj*pj*(1-pj_api*("C5"="C5")))*INDEX(tblT,MATCH("T0",codesT,0),1)+etapes*INDEX(tblT,MATCH("T0",codesT,0),2)+INDEX(tblT,MATCH("T0",codesT,0),3)+IF(si_aval="Oui",INDEX(tblT,MATCH("T0",codesT,0),4),0)+INDEX(tblC,MATCH("C5",codesC,0),5)</f>
        <v>12.47</v>
      </c>
      <c r="C13" s="48" t="n">
        <f aca="false">INDEX(tblC,MATCH("C5",codesC,0),1)+champs*part_saisie*INDEX(tblC,MATCH("C5",codesC,0),2)+pj*(1-pj_api*("C5"="C5"))*INDEX(tblC,MATCH("C5",codesC,0),3)+INDEX(tblC,MATCH("C5",codesC,0),4)*(1+relance_par_pj*pj*(1-pj_api*("C5"="C5")))*INDEX(tblT,MATCH("T1",codesT,0),1)+etapes*INDEX(tblT,MATCH("T1",codesT,0),2)+INDEX(tblT,MATCH("T1",codesT,0),3)+IF(si_aval="Oui",INDEX(tblT,MATCH("T1",codesT,0),4),0)+INDEX(tblC,MATCH("C5",codesC,0),5)</f>
        <v>10.905</v>
      </c>
      <c r="D13" s="48" t="n">
        <f aca="false">INDEX(tblC,MATCH("C5",codesC,0),1)+champs*part_saisie*INDEX(tblC,MATCH("C5",codesC,0),2)+pj*(1-pj_api*("C5"="C5"))*INDEX(tblC,MATCH("C5",codesC,0),3)+INDEX(tblC,MATCH("C5",codesC,0),4)*(1+relance_par_pj*pj*(1-pj_api*("C5"="C5")))*INDEX(tblT,MATCH("T2",codesT,0),1)+etapes*INDEX(tblT,MATCH("T2",codesT,0),2)+INDEX(tblT,MATCH("T2",codesT,0),3)+IF(si_aval="Oui",INDEX(tblT,MATCH("T2",codesT,0),4),0)+INDEX(tblC,MATCH("C5",codesC,0),5)</f>
        <v>5.68</v>
      </c>
      <c r="E13" s="48" t="n">
        <f aca="false">INDEX(tblC,MATCH("C5",codesC,0),1)+champs*part_saisie*INDEX(tblC,MATCH("C5",codesC,0),2)+pj*(1-pj_api*("C5"="C5"))*INDEX(tblC,MATCH("C5",codesC,0),3)+INDEX(tblC,MATCH("C5",codesC,0),4)*(1+relance_par_pj*pj*(1-pj_api*("C5"="C5")))*INDEX(tblT,MATCH("T3",codesT,0),1)+etapes*INDEX(tblT,MATCH("T3",codesT,0),2)+INDEX(tblT,MATCH("T3",codesT,0),3)+IF(si_aval="Oui",INDEX(tblT,MATCH("T3",codesT,0),4),0)+INDEX(tblC,MATCH("C5",codesC,0),5)</f>
        <v>1.58</v>
      </c>
    </row>
    <row r="14" customFormat="false" ht="15" hidden="false" customHeight="false" outlineLevel="0" collapsed="false">
      <c r="A14" s="1"/>
      <c r="B14" s="1"/>
      <c r="C14" s="1"/>
      <c r="D14" s="1"/>
      <c r="E14" s="1"/>
    </row>
    <row r="15" customFormat="false" ht="15" hidden="false" customHeight="false" outlineLevel="0" collapsed="false">
      <c r="A15" s="20" t="s">
        <v>292</v>
      </c>
      <c r="B15" s="1"/>
      <c r="C15" s="1"/>
      <c r="D15" s="1"/>
      <c r="E15" s="1"/>
    </row>
    <row r="16" customFormat="false" ht="15" hidden="false" customHeight="false" outlineLevel="0" collapsed="false">
      <c r="A16" s="1"/>
      <c r="B16" s="46" t="s">
        <v>179</v>
      </c>
      <c r="C16" s="46" t="s">
        <v>85</v>
      </c>
      <c r="D16" s="46" t="s">
        <v>106</v>
      </c>
      <c r="E16" s="46" t="s">
        <v>89</v>
      </c>
    </row>
    <row r="17" customFormat="false" ht="27.75" hidden="false" customHeight="true" outlineLevel="0" collapsed="false">
      <c r="A17" s="1"/>
      <c r="B17" s="47" t="s">
        <v>180</v>
      </c>
      <c r="C17" s="47" t="s">
        <v>181</v>
      </c>
      <c r="D17" s="47" t="s">
        <v>182</v>
      </c>
      <c r="E17" s="47" t="s">
        <v>183</v>
      </c>
    </row>
    <row r="18" customFormat="false" ht="15" hidden="false" customHeight="false" outlineLevel="0" collapsed="false">
      <c r="A18" s="20" t="s">
        <v>12</v>
      </c>
      <c r="B18" s="49" t="n">
        <f aca="false">MAX(0,dossiers*s_adopt*((dep_tA-(INDEX(tblC,MATCH("C0",codesC,0),1)+champs*part_saisie*INDEX(tblC,MATCH("C0",codesC,0),2)+pj*(1-pj_api*("C0"="C5"))*INDEX(tblC,MATCH("C0",codesC,0),3)+INDEX(tblC,MATCH("C0",codesC,0),4)*(1+relance_par_pj*pj*(1-pj_api*("C0"="C5")))*INDEX(tblT,MATCH("T0",codesT,0),1)+etapes*INDEX(tblT,MATCH("T0",codesT,0),2)+INDEX(tblT,MATCH("T0",codesT,0),3)+IF(si_aval="Oui",INDEX(tblT,MATCH("T0",codesT,0),4),0)+INDEX(tblC,MATCH("C0",codesC,0),5)))*s_fact/60*cout_h+dep_fr-(INDEX(tblC,MATCH("C0",codesC,0),10)*(1+INDEX(tblC,MATCH("C0",codesC,0),4)*(1+relance_par_pj*pj*(1-pj_api*("C0"="C5"))))*tarif_lettre+(INDEX(tblT,MATCH("T0",codesT,0),5)+INDEX(tblT,MATCH("T0",codesT,0),6)*pj)*cout_page+IF(AND("C0"="C0",INDEX(tblT,MATCH("T0",codesT,0),9)&gt;=2),cout_num,0)+INDEX(tblC,MATCH("C0",codesC,0),11))))</f>
        <v>0</v>
      </c>
      <c r="C18" s="49" t="n">
        <f aca="false">MAX(0,dossiers*s_adopt*((dep_tA-(INDEX(tblC,MATCH("C0",codesC,0),1)+champs*part_saisie*INDEX(tblC,MATCH("C0",codesC,0),2)+pj*(1-pj_api*("C0"="C5"))*INDEX(tblC,MATCH("C0",codesC,0),3)+INDEX(tblC,MATCH("C0",codesC,0),4)*(1+relance_par_pj*pj*(1-pj_api*("C0"="C5")))*INDEX(tblT,MATCH("T1",codesT,0),1)+etapes*INDEX(tblT,MATCH("T1",codesT,0),2)+INDEX(tblT,MATCH("T1",codesT,0),3)+IF(si_aval="Oui",INDEX(tblT,MATCH("T1",codesT,0),4),0)+INDEX(tblC,MATCH("C0",codesC,0),5)))*s_fact/60*cout_h+dep_fr-(INDEX(tblC,MATCH("C0",codesC,0),10)*(1+INDEX(tblC,MATCH("C0",codesC,0),4)*(1+relance_par_pj*pj*(1-pj_api*("C0"="C5"))))*tarif_lettre+(INDEX(tblT,MATCH("T1",codesT,0),5)+INDEX(tblT,MATCH("T1",codesT,0),6)*pj)*cout_page+IF(AND("C0"="C0",INDEX(tblT,MATCH("T1",codesT,0),9)&gt;=2),cout_num,0)+INDEX(tblC,MATCH("C0",codesC,0),11))))</f>
        <v>0</v>
      </c>
      <c r="D18" s="49" t="n">
        <f aca="false">MAX(0,dossiers*s_adopt*((dep_tA-(INDEX(tblC,MATCH("C0",codesC,0),1)+champs*part_saisie*INDEX(tblC,MATCH("C0",codesC,0),2)+pj*(1-pj_api*("C0"="C5"))*INDEX(tblC,MATCH("C0",codesC,0),3)+INDEX(tblC,MATCH("C0",codesC,0),4)*(1+relance_par_pj*pj*(1-pj_api*("C0"="C5")))*INDEX(tblT,MATCH("T2",codesT,0),1)+etapes*INDEX(tblT,MATCH("T2",codesT,0),2)+INDEX(tblT,MATCH("T2",codesT,0),3)+IF(si_aval="Oui",INDEX(tblT,MATCH("T2",codesT,0),4),0)+INDEX(tblC,MATCH("C0",codesC,0),5)))*s_fact/60*cout_h+dep_fr-(INDEX(tblC,MATCH("C0",codesC,0),10)*(1+INDEX(tblC,MATCH("C0",codesC,0),4)*(1+relance_par_pj*pj*(1-pj_api*("C0"="C5"))))*tarif_lettre+(INDEX(tblT,MATCH("T2",codesT,0),5)+INDEX(tblT,MATCH("T2",codesT,0),6)*pj)*cout_page+IF(AND("C0"="C0",INDEX(tblT,MATCH("T2",codesT,0),9)&gt;=2),cout_num,0)+INDEX(tblC,MATCH("C0",codesC,0),11))))</f>
        <v>0</v>
      </c>
      <c r="E18" s="49" t="n">
        <f aca="false">MAX(0,dossiers*s_adopt*((dep_tA-(INDEX(tblC,MATCH("C0",codesC,0),1)+champs*part_saisie*INDEX(tblC,MATCH("C0",codesC,0),2)+pj*(1-pj_api*("C0"="C5"))*INDEX(tblC,MATCH("C0",codesC,0),3)+INDEX(tblC,MATCH("C0",codesC,0),4)*(1+relance_par_pj*pj*(1-pj_api*("C0"="C5")))*INDEX(tblT,MATCH("T3",codesT,0),1)+etapes*INDEX(tblT,MATCH("T3",codesT,0),2)+INDEX(tblT,MATCH("T3",codesT,0),3)+IF(si_aval="Oui",INDEX(tblT,MATCH("T3",codesT,0),4),0)+INDEX(tblC,MATCH("C0",codesC,0),5)))*s_fact/60*cout_h+dep_fr-(INDEX(tblC,MATCH("C0",codesC,0),10)*(1+INDEX(tblC,MATCH("C0",codesC,0),4)*(1+relance_par_pj*pj*(1-pj_api*("C0"="C5"))))*tarif_lettre+(INDEX(tblT,MATCH("T3",codesT,0),5)+INDEX(tblT,MATCH("T3",codesT,0),6)*pj)*cout_page+IF(AND("C0"="C0",INDEX(tblT,MATCH("T3",codesT,0),9)&gt;=2),cout_num,0)+INDEX(tblC,MATCH("C0",codesC,0),11))))</f>
        <v>3569.31756896904</v>
      </c>
    </row>
    <row r="19" customFormat="false" ht="15" hidden="false" customHeight="false" outlineLevel="0" collapsed="false">
      <c r="A19" s="20" t="s">
        <v>13</v>
      </c>
      <c r="B19" s="49" t="n">
        <f aca="false">MAX(0,dossiers*s_adopt*((dep_tA-(INDEX(tblC,MATCH("C1",codesC,0),1)+champs*part_saisie*INDEX(tblC,MATCH("C1",codesC,0),2)+pj*(1-pj_api*("C1"="C5"))*INDEX(tblC,MATCH("C1",codesC,0),3)+INDEX(tblC,MATCH("C1",codesC,0),4)*(1+relance_par_pj*pj*(1-pj_api*("C1"="C5")))*INDEX(tblT,MATCH("T0",codesT,0),1)+etapes*INDEX(tblT,MATCH("T0",codesT,0),2)+INDEX(tblT,MATCH("T0",codesT,0),3)+IF(si_aval="Oui",INDEX(tblT,MATCH("T0",codesT,0),4),0)+INDEX(tblC,MATCH("C1",codesC,0),5)))*s_fact/60*cout_h+dep_fr-(INDEX(tblC,MATCH("C1",codesC,0),10)*(1+INDEX(tblC,MATCH("C1",codesC,0),4)*(1+relance_par_pj*pj*(1-pj_api*("C1"="C5"))))*tarif_lettre+(INDEX(tblT,MATCH("T0",codesT,0),5)+INDEX(tblT,MATCH("T0",codesT,0),6)*pj)*cout_page+IF(AND("C1"="C0",INDEX(tblT,MATCH("T0",codesT,0),9)&gt;=2),cout_num,0)+INDEX(tblC,MATCH("C1",codesC,0),11))))</f>
        <v>0</v>
      </c>
      <c r="C19" s="49" t="n">
        <f aca="false">MAX(0,dossiers*s_adopt*((dep_tA-(INDEX(tblC,MATCH("C1",codesC,0),1)+champs*part_saisie*INDEX(tblC,MATCH("C1",codesC,0),2)+pj*(1-pj_api*("C1"="C5"))*INDEX(tblC,MATCH("C1",codesC,0),3)+INDEX(tblC,MATCH("C1",codesC,0),4)*(1+relance_par_pj*pj*(1-pj_api*("C1"="C5")))*INDEX(tblT,MATCH("T1",codesT,0),1)+etapes*INDEX(tblT,MATCH("T1",codesT,0),2)+INDEX(tblT,MATCH("T1",codesT,0),3)+IF(si_aval="Oui",INDEX(tblT,MATCH("T1",codesT,0),4),0)+INDEX(tblC,MATCH("C1",codesC,0),5)))*s_fact/60*cout_h+dep_fr-(INDEX(tblC,MATCH("C1",codesC,0),10)*(1+INDEX(tblC,MATCH("C1",codesC,0),4)*(1+relance_par_pj*pj*(1-pj_api*("C1"="C5"))))*tarif_lettre+(INDEX(tblT,MATCH("T1",codesT,0),5)+INDEX(tblT,MATCH("T1",codesT,0),6)*pj)*cout_page+IF(AND("C1"="C0",INDEX(tblT,MATCH("T1",codesT,0),9)&gt;=2),cout_num,0)+INDEX(tblC,MATCH("C1",codesC,0),11))))</f>
        <v>0</v>
      </c>
      <c r="D19" s="49" t="n">
        <f aca="false">MAX(0,dossiers*s_adopt*((dep_tA-(INDEX(tblC,MATCH("C1",codesC,0),1)+champs*part_saisie*INDEX(tblC,MATCH("C1",codesC,0),2)+pj*(1-pj_api*("C1"="C5"))*INDEX(tblC,MATCH("C1",codesC,0),3)+INDEX(tblC,MATCH("C1",codesC,0),4)*(1+relance_par_pj*pj*(1-pj_api*("C1"="C5")))*INDEX(tblT,MATCH("T2",codesT,0),1)+etapes*INDEX(tblT,MATCH("T2",codesT,0),2)+INDEX(tblT,MATCH("T2",codesT,0),3)+IF(si_aval="Oui",INDEX(tblT,MATCH("T2",codesT,0),4),0)+INDEX(tblC,MATCH("C1",codesC,0),5)))*s_fact/60*cout_h+dep_fr-(INDEX(tblC,MATCH("C1",codesC,0),10)*(1+INDEX(tblC,MATCH("C1",codesC,0),4)*(1+relance_par_pj*pj*(1-pj_api*("C1"="C5"))))*tarif_lettre+(INDEX(tblT,MATCH("T2",codesT,0),5)+INDEX(tblT,MATCH("T2",codesT,0),6)*pj)*cout_page+IF(AND("C1"="C0",INDEX(tblT,MATCH("T2",codesT,0),9)&gt;=2),cout_num,0)+INDEX(tblC,MATCH("C1",codesC,0),11))))</f>
        <v>106951.819124663</v>
      </c>
      <c r="E19" s="49" t="n">
        <f aca="false">MAX(0,dossiers*s_adopt*((dep_tA-(INDEX(tblC,MATCH("C1",codesC,0),1)+champs*part_saisie*INDEX(tblC,MATCH("C1",codesC,0),2)+pj*(1-pj_api*("C1"="C5"))*INDEX(tblC,MATCH("C1",codesC,0),3)+INDEX(tblC,MATCH("C1",codesC,0),4)*(1+relance_par_pj*pj*(1-pj_api*("C1"="C5")))*INDEX(tblT,MATCH("T3",codesT,0),1)+etapes*INDEX(tblT,MATCH("T3",codesT,0),2)+INDEX(tblT,MATCH("T3",codesT,0),3)+IF(si_aval="Oui",INDEX(tblT,MATCH("T3",codesT,0),4),0)+INDEX(tblC,MATCH("C1",codesC,0),5)))*s_fact/60*cout_h+dep_fr-(INDEX(tblC,MATCH("C1",codesC,0),10)*(1+INDEX(tblC,MATCH("C1",codesC,0),4)*(1+relance_par_pj*pj*(1-pj_api*("C1"="C5"))))*tarif_lettre+(INDEX(tblT,MATCH("T3",codesT,0),5)+INDEX(tblT,MATCH("T3",codesT,0),6)*pj)*cout_page+IF(AND("C1"="C0",INDEX(tblT,MATCH("T3",codesT,0),9)&gt;=2),cout_num,0)+INDEX(tblC,MATCH("C1",codesC,0),11))))</f>
        <v>189138.917237088</v>
      </c>
    </row>
    <row r="20" customFormat="false" ht="15" hidden="false" customHeight="false" outlineLevel="0" collapsed="false">
      <c r="A20" s="20" t="s">
        <v>14</v>
      </c>
      <c r="B20" s="49" t="n">
        <f aca="false">MAX(0,dossiers*s_adopt*((dep_tA-(INDEX(tblC,MATCH("C2",codesC,0),1)+champs*part_saisie*INDEX(tblC,MATCH("C2",codesC,0),2)+pj*(1-pj_api*("C2"="C5"))*INDEX(tblC,MATCH("C2",codesC,0),3)+INDEX(tblC,MATCH("C2",codesC,0),4)*(1+relance_par_pj*pj*(1-pj_api*("C2"="C5")))*INDEX(tblT,MATCH("T0",codesT,0),1)+etapes*INDEX(tblT,MATCH("T0",codesT,0),2)+INDEX(tblT,MATCH("T0",codesT,0),3)+IF(si_aval="Oui",INDEX(tblT,MATCH("T0",codesT,0),4),0)+INDEX(tblC,MATCH("C2",codesC,0),5)))*s_fact/60*cout_h+dep_fr-(INDEX(tblC,MATCH("C2",codesC,0),10)*(1+INDEX(tblC,MATCH("C2",codesC,0),4)*(1+relance_par_pj*pj*(1-pj_api*("C2"="C5"))))*tarif_lettre+(INDEX(tblT,MATCH("T0",codesT,0),5)+INDEX(tblT,MATCH("T0",codesT,0),6)*pj)*cout_page+IF(AND("C2"="C0",INDEX(tblT,MATCH("T0",codesT,0),9)&gt;=2),cout_num,0)+INDEX(tblC,MATCH("C2",codesC,0),11))))</f>
        <v>0</v>
      </c>
      <c r="C20" s="49" t="n">
        <f aca="false">MAX(0,dossiers*s_adopt*((dep_tA-(INDEX(tblC,MATCH("C2",codesC,0),1)+champs*part_saisie*INDEX(tblC,MATCH("C2",codesC,0),2)+pj*(1-pj_api*("C2"="C5"))*INDEX(tblC,MATCH("C2",codesC,0),3)+INDEX(tblC,MATCH("C2",codesC,0),4)*(1+relance_par_pj*pj*(1-pj_api*("C2"="C5")))*INDEX(tblT,MATCH("T1",codesT,0),1)+etapes*INDEX(tblT,MATCH("T1",codesT,0),2)+INDEX(tblT,MATCH("T1",codesT,0),3)+IF(si_aval="Oui",INDEX(tblT,MATCH("T1",codesT,0),4),0)+INDEX(tblC,MATCH("C2",codesC,0),5)))*s_fact/60*cout_h+dep_fr-(INDEX(tblC,MATCH("C2",codesC,0),10)*(1+INDEX(tblC,MATCH("C2",codesC,0),4)*(1+relance_par_pj*pj*(1-pj_api*("C2"="C5"))))*tarif_lettre+(INDEX(tblT,MATCH("T1",codesT,0),5)+INDEX(tblT,MATCH("T1",codesT,0),6)*pj)*cout_page+IF(AND("C2"="C0",INDEX(tblT,MATCH("T1",codesT,0),9)&gt;=2),cout_num,0)+INDEX(tblC,MATCH("C2",codesC,0),11))))</f>
        <v>0</v>
      </c>
      <c r="D20" s="49" t="n">
        <f aca="false">MAX(0,dossiers*s_adopt*((dep_tA-(INDEX(tblC,MATCH("C2",codesC,0),1)+champs*part_saisie*INDEX(tblC,MATCH("C2",codesC,0),2)+pj*(1-pj_api*("C2"="C5"))*INDEX(tblC,MATCH("C2",codesC,0),3)+INDEX(tblC,MATCH("C2",codesC,0),4)*(1+relance_par_pj*pj*(1-pj_api*("C2"="C5")))*INDEX(tblT,MATCH("T2",codesT,0),1)+etapes*INDEX(tblT,MATCH("T2",codesT,0),2)+INDEX(tblT,MATCH("T2",codesT,0),3)+IF(si_aval="Oui",INDEX(tblT,MATCH("T2",codesT,0),4),0)+INDEX(tblC,MATCH("C2",codesC,0),5)))*s_fact/60*cout_h+dep_fr-(INDEX(tblC,MATCH("C2",codesC,0),10)*(1+INDEX(tblC,MATCH("C2",codesC,0),4)*(1+relance_par_pj*pj*(1-pj_api*("C2"="C5"))))*tarif_lettre+(INDEX(tblT,MATCH("T2",codesT,0),5)+INDEX(tblT,MATCH("T2",codesT,0),6)*pj)*cout_page+IF(AND("C2"="C0",INDEX(tblT,MATCH("T2",codesT,0),9)&gt;=2),cout_num,0)+INDEX(tblC,MATCH("C2",codesC,0),11))))</f>
        <v>143434.872433105</v>
      </c>
      <c r="E20" s="49" t="n">
        <f aca="false">MAX(0,dossiers*s_adopt*((dep_tA-(INDEX(tblC,MATCH("C2",codesC,0),1)+champs*part_saisie*INDEX(tblC,MATCH("C2",codesC,0),2)+pj*(1-pj_api*("C2"="C5"))*INDEX(tblC,MATCH("C2",codesC,0),3)+INDEX(tblC,MATCH("C2",codesC,0),4)*(1+relance_par_pj*pj*(1-pj_api*("C2"="C5")))*INDEX(tblT,MATCH("T3",codesT,0),1)+etapes*INDEX(tblT,MATCH("T3",codesT,0),2)+INDEX(tblT,MATCH("T3",codesT,0),3)+IF(si_aval="Oui",INDEX(tblT,MATCH("T3",codesT,0),4),0)+INDEX(tblC,MATCH("C2",codesC,0),5)))*s_fact/60*cout_h+dep_fr-(INDEX(tblC,MATCH("C2",codesC,0),10)*(1+INDEX(tblC,MATCH("C2",codesC,0),4)*(1+relance_par_pj*pj*(1-pj_api*("C2"="C5"))))*tarif_lettre+(INDEX(tblT,MATCH("T3",codesT,0),5)+INDEX(tblT,MATCH("T3",codesT,0),6)*pj)*cout_page+IF(AND("C2"="C0",INDEX(tblT,MATCH("T3",codesT,0),9)&gt;=2),cout_num,0)+INDEX(tblC,MATCH("C2",codesC,0),11))))</f>
        <v>225621.97054553</v>
      </c>
    </row>
    <row r="21" customFormat="false" ht="15" hidden="false" customHeight="false" outlineLevel="0" collapsed="false">
      <c r="A21" s="20" t="s">
        <v>15</v>
      </c>
      <c r="B21" s="49" t="n">
        <f aca="false">MAX(0,dossiers*s_adopt*((dep_tA-(INDEX(tblC,MATCH("C3",codesC,0),1)+champs*part_saisie*INDEX(tblC,MATCH("C3",codesC,0),2)+pj*(1-pj_api*("C3"="C5"))*INDEX(tblC,MATCH("C3",codesC,0),3)+INDEX(tblC,MATCH("C3",codesC,0),4)*(1+relance_par_pj*pj*(1-pj_api*("C3"="C5")))*INDEX(tblT,MATCH("T0",codesT,0),1)+etapes*INDEX(tblT,MATCH("T0",codesT,0),2)+INDEX(tblT,MATCH("T0",codesT,0),3)+IF(si_aval="Oui",INDEX(tblT,MATCH("T0",codesT,0),4),0)+INDEX(tblC,MATCH("C3",codesC,0),5)))*s_fact/60*cout_h+dep_fr-(INDEX(tblC,MATCH("C3",codesC,0),10)*(1+INDEX(tblC,MATCH("C3",codesC,0),4)*(1+relance_par_pj*pj*(1-pj_api*("C3"="C5"))))*tarif_lettre+(INDEX(tblT,MATCH("T0",codesT,0),5)+INDEX(tblT,MATCH("T0",codesT,0),6)*pj)*cout_page+IF(AND("C3"="C0",INDEX(tblT,MATCH("T0",codesT,0),9)&gt;=2),cout_num,0)+INDEX(tblC,MATCH("C3",codesC,0),11))))</f>
        <v>56543.2897739058</v>
      </c>
      <c r="C21" s="49" t="n">
        <f aca="false">MAX(0,dossiers*s_adopt*((dep_tA-(INDEX(tblC,MATCH("C3",codesC,0),1)+champs*part_saisie*INDEX(tblC,MATCH("C3",codesC,0),2)+pj*(1-pj_api*("C3"="C5"))*INDEX(tblC,MATCH("C3",codesC,0),3)+INDEX(tblC,MATCH("C3",codesC,0),4)*(1+relance_par_pj*pj*(1-pj_api*("C3"="C5")))*INDEX(tblT,MATCH("T1",codesT,0),1)+etapes*INDEX(tblT,MATCH("T1",codesT,0),2)+INDEX(tblT,MATCH("T1",codesT,0),3)+IF(si_aval="Oui",INDEX(tblT,MATCH("T1",codesT,0),4),0)+INDEX(tblC,MATCH("C3",codesC,0),5)))*s_fact/60*cout_h+dep_fr-(INDEX(tblC,MATCH("C3",codesC,0),10)*(1+INDEX(tblC,MATCH("C3",codesC,0),4)*(1+relance_par_pj*pj*(1-pj_api*("C3"="C5"))))*tarif_lettre+(INDEX(tblT,MATCH("T1",codesT,0),5)+INDEX(tblT,MATCH("T1",codesT,0),6)*pj)*cout_page+IF(AND("C3"="C0",INDEX(tblT,MATCH("T1",codesT,0),9)&gt;=2),cout_num,0)+INDEX(tblC,MATCH("C3",codesC,0),11))))</f>
        <v>99426.3430823481</v>
      </c>
      <c r="D21" s="49" t="n">
        <f aca="false">MAX(0,dossiers*s_adopt*((dep_tA-(INDEX(tblC,MATCH("C3",codesC,0),1)+champs*part_saisie*INDEX(tblC,MATCH("C3",codesC,0),2)+pj*(1-pj_api*("C3"="C5"))*INDEX(tblC,MATCH("C3",codesC,0),3)+INDEX(tblC,MATCH("C3",codesC,0),4)*(1+relance_par_pj*pj*(1-pj_api*("C3"="C5")))*INDEX(tblT,MATCH("T2",codesT,0),1)+etapes*INDEX(tblT,MATCH("T2",codesT,0),2)+INDEX(tblT,MATCH("T2",codesT,0),3)+IF(si_aval="Oui",INDEX(tblT,MATCH("T2",codesT,0),4),0)+INDEX(tblC,MATCH("C3",codesC,0),5)))*s_fact/60*cout_h+dep_fr-(INDEX(tblC,MATCH("C3",codesC,0),10)*(1+INDEX(tblC,MATCH("C3",codesC,0),4)*(1+relance_par_pj*pj*(1-pj_api*("C3"="C5"))))*tarif_lettre+(INDEX(tblT,MATCH("T2",codesT,0),5)+INDEX(tblT,MATCH("T2",codesT,0),6)*pj)*cout_page+IF(AND("C3"="C0",INDEX(tblT,MATCH("T2",codesT,0),9)&gt;=2),cout_num,0)+INDEX(tblC,MATCH("C3",codesC,0),11))))</f>
        <v>234842.96204107</v>
      </c>
      <c r="E21" s="49" t="n">
        <f aca="false">MAX(0,dossiers*s_adopt*((dep_tA-(INDEX(tblC,MATCH("C3",codesC,0),1)+champs*part_saisie*INDEX(tblC,MATCH("C3",codesC,0),2)+pj*(1-pj_api*("C3"="C5"))*INDEX(tblC,MATCH("C3",codesC,0),3)+INDEX(tblC,MATCH("C3",codesC,0),4)*(1+relance_par_pj*pj*(1-pj_api*("C3"="C5")))*INDEX(tblT,MATCH("T3",codesT,0),1)+etapes*INDEX(tblT,MATCH("T3",codesT,0),2)+INDEX(tblT,MATCH("T3",codesT,0),3)+IF(si_aval="Oui",INDEX(tblT,MATCH("T3",codesT,0),4),0)+INDEX(tblC,MATCH("C3",codesC,0),5)))*s_fact/60*cout_h+dep_fr-(INDEX(tblC,MATCH("C3",codesC,0),10)*(1+INDEX(tblC,MATCH("C3",codesC,0),4)*(1+relance_par_pj*pj*(1-pj_api*("C3"="C5"))))*tarif_lettre+(INDEX(tblT,MATCH("T3",codesT,0),5)+INDEX(tblT,MATCH("T3",codesT,0),6)*pj)*cout_page+IF(AND("C3"="C0",INDEX(tblT,MATCH("T3",codesT,0),9)&gt;=2),cout_num,0)+INDEX(tblC,MATCH("C3",codesC,0),11))))</f>
        <v>317030.060153495</v>
      </c>
    </row>
    <row r="22" customFormat="false" ht="15" hidden="false" customHeight="false" outlineLevel="0" collapsed="false">
      <c r="A22" s="20" t="s">
        <v>16</v>
      </c>
      <c r="B22" s="49" t="n">
        <f aca="false">MAX(0,dossiers*s_adopt*((dep_tA-(INDEX(tblC,MATCH("C4",codesC,0),1)+champs*part_saisie*INDEX(tblC,MATCH("C4",codesC,0),2)+pj*(1-pj_api*("C4"="C5"))*INDEX(tblC,MATCH("C4",codesC,0),3)+INDEX(tblC,MATCH("C4",codesC,0),4)*(1+relance_par_pj*pj*(1-pj_api*("C4"="C5")))*INDEX(tblT,MATCH("T0",codesT,0),1)+etapes*INDEX(tblT,MATCH("T0",codesT,0),2)+INDEX(tblT,MATCH("T0",codesT,0),3)+IF(si_aval="Oui",INDEX(tblT,MATCH("T0",codesT,0),4),0)+INDEX(tblC,MATCH("C4",codesC,0),5)))*s_fact/60*cout_h+dep_fr-(INDEX(tblC,MATCH("C4",codesC,0),10)*(1+INDEX(tblC,MATCH("C4",codesC,0),4)*(1+relance_par_pj*pj*(1-pj_api*("C4"="C5"))))*tarif_lettre+(INDEX(tblT,MATCH("T0",codesT,0),5)+INDEX(tblT,MATCH("T0",codesT,0),6)*pj)*cout_page+IF(AND("C4"="C0",INDEX(tblT,MATCH("T0",codesT,0),9)&gt;=2),cout_num,0)+INDEX(tblC,MATCH("C4",codesC,0),11))))</f>
        <v>152361.418792782</v>
      </c>
      <c r="C22" s="49" t="n">
        <f aca="false">MAX(0,dossiers*s_adopt*((dep_tA-(INDEX(tblC,MATCH("C4",codesC,0),1)+champs*part_saisie*INDEX(tblC,MATCH("C4",codesC,0),2)+pj*(1-pj_api*("C4"="C5"))*INDEX(tblC,MATCH("C4",codesC,0),3)+INDEX(tblC,MATCH("C4",codesC,0),4)*(1+relance_par_pj*pj*(1-pj_api*("C4"="C5")))*INDEX(tblT,MATCH("T1",codesT,0),1)+etapes*INDEX(tblT,MATCH("T1",codesT,0),2)+INDEX(tblT,MATCH("T1",codesT,0),3)+IF(si_aval="Oui",INDEX(tblT,MATCH("T1",codesT,0),4),0)+INDEX(tblC,MATCH("C4",codesC,0),5)))*s_fact/60*cout_h+dep_fr-(INDEX(tblC,MATCH("C4",codesC,0),10)*(1+INDEX(tblC,MATCH("C4",codesC,0),4)*(1+relance_par_pj*pj*(1-pj_api*("C4"="C5"))))*tarif_lettre+(INDEX(tblT,MATCH("T1",codesT,0),5)+INDEX(tblT,MATCH("T1",codesT,0),6)*pj)*cout_page+IF(AND("C4"="C0",INDEX(tblT,MATCH("T1",codesT,0),9)&gt;=2),cout_num,0)+INDEX(tblC,MATCH("C4",codesC,0),11))))</f>
        <v>192037.170711471</v>
      </c>
      <c r="D22" s="49" t="n">
        <f aca="false">MAX(0,dossiers*s_adopt*((dep_tA-(INDEX(tblC,MATCH("C4",codesC,0),1)+champs*part_saisie*INDEX(tblC,MATCH("C4",codesC,0),2)+pj*(1-pj_api*("C4"="C5"))*INDEX(tblC,MATCH("C4",codesC,0),3)+INDEX(tblC,MATCH("C4",codesC,0),4)*(1+relance_par_pj*pj*(1-pj_api*("C4"="C5")))*INDEX(tblT,MATCH("T2",codesT,0),1)+etapes*INDEX(tblT,MATCH("T2",codesT,0),2)+INDEX(tblT,MATCH("T2",codesT,0),3)+IF(si_aval="Oui",INDEX(tblT,MATCH("T2",codesT,0),4),0)+INDEX(tblC,MATCH("C4",codesC,0),5)))*s_fact/60*cout_h+dep_fr-(INDEX(tblC,MATCH("C4",codesC,0),10)*(1+INDEX(tblC,MATCH("C4",codesC,0),4)*(1+relance_par_pj*pj*(1-pj_api*("C4"="C5"))))*tarif_lettre+(INDEX(tblT,MATCH("T2",codesT,0),5)+INDEX(tblT,MATCH("T2",codesT,0),6)*pj)*cout_page+IF(AND("C4"="C0",INDEX(tblT,MATCH("T2",codesT,0),9)&gt;=2),cout_num,0)+INDEX(tblC,MATCH("C4",codesC,0),11))))</f>
        <v>311417.282721427</v>
      </c>
      <c r="E22" s="49" t="n">
        <f aca="false">MAX(0,dossiers*s_adopt*((dep_tA-(INDEX(tblC,MATCH("C4",codesC,0),1)+champs*part_saisie*INDEX(tblC,MATCH("C4",codesC,0),2)+pj*(1-pj_api*("C4"="C5"))*INDEX(tblC,MATCH("C4",codesC,0),3)+INDEX(tblC,MATCH("C4",codesC,0),4)*(1+relance_par_pj*pj*(1-pj_api*("C4"="C5")))*INDEX(tblT,MATCH("T3",codesT,0),1)+etapes*INDEX(tblT,MATCH("T3",codesT,0),2)+INDEX(tblT,MATCH("T3",codesT,0),3)+IF(si_aval="Oui",INDEX(tblT,MATCH("T3",codesT,0),4),0)+INDEX(tblC,MATCH("C4",codesC,0),5)))*s_fact/60*cout_h+dep_fr-(INDEX(tblC,MATCH("C4",codesC,0),10)*(1+INDEX(tblC,MATCH("C4",codesC,0),4)*(1+relance_par_pj*pj*(1-pj_api*("C4"="C5"))))*tarif_lettre+(INDEX(tblT,MATCH("T3",codesT,0),5)+INDEX(tblT,MATCH("T3",codesT,0),6)*pj)*cout_page+IF(AND("C4"="C0",INDEX(tblT,MATCH("T3",codesT,0),9)&gt;=2),cout_num,0)+INDEX(tblC,MATCH("C4",codesC,0),11))))</f>
        <v>393604.380833852</v>
      </c>
    </row>
    <row r="23" customFormat="false" ht="15" hidden="false" customHeight="false" outlineLevel="0" collapsed="false">
      <c r="A23" s="20" t="s">
        <v>17</v>
      </c>
      <c r="B23" s="49" t="n">
        <f aca="false">MAX(0,dossiers*s_adopt*((dep_tA-(INDEX(tblC,MATCH("C5",codesC,0),1)+champs*part_saisie*INDEX(tblC,MATCH("C5",codesC,0),2)+pj*(1-pj_api*("C5"="C5"))*INDEX(tblC,MATCH("C5",codesC,0),3)+INDEX(tblC,MATCH("C5",codesC,0),4)*(1+relance_par_pj*pj*(1-pj_api*("C5"="C5")))*INDEX(tblT,MATCH("T0",codesT,0),1)+etapes*INDEX(tblT,MATCH("T0",codesT,0),2)+INDEX(tblT,MATCH("T0",codesT,0),3)+IF(si_aval="Oui",INDEX(tblT,MATCH("T0",codesT,0),4),0)+INDEX(tblC,MATCH("C5",codesC,0),5)))*s_fact/60*cout_h+dep_fr-(INDEX(tblC,MATCH("C5",codesC,0),10)*(1+INDEX(tblC,MATCH("C5",codesC,0),4)*(1+relance_par_pj*pj*(1-pj_api*("C5"="C5"))))*tarif_lettre+(INDEX(tblT,MATCH("T0",codesT,0),5)+INDEX(tblT,MATCH("T0",codesT,0),6)*pj)*cout_page+IF(AND("C5"="C0",INDEX(tblT,MATCH("T0",codesT,0),9)&gt;=2),cout_num,0)+INDEX(tblC,MATCH("C5",codesC,0),11))))</f>
        <v>176616.63555279</v>
      </c>
      <c r="C23" s="49" t="n">
        <f aca="false">MAX(0,dossiers*s_adopt*((dep_tA-(INDEX(tblC,MATCH("C5",codesC,0),1)+champs*part_saisie*INDEX(tblC,MATCH("C5",codesC,0),2)+pj*(1-pj_api*("C5"="C5"))*INDEX(tblC,MATCH("C5",codesC,0),3)+INDEX(tblC,MATCH("C5",codesC,0),4)*(1+relance_par_pj*pj*(1-pj_api*("C5"="C5")))*INDEX(tblT,MATCH("T1",codesT,0),1)+etapes*INDEX(tblT,MATCH("T1",codesT,0),2)+INDEX(tblT,MATCH("T1",codesT,0),3)+IF(si_aval="Oui",INDEX(tblT,MATCH("T1",codesT,0),4),0)+INDEX(tblC,MATCH("C5",codesC,0),5)))*s_fact/60*cout_h+dep_fr-(INDEX(tblC,MATCH("C5",codesC,0),10)*(1+INDEX(tblC,MATCH("C5",codesC,0),4)*(1+relance_par_pj*pj*(1-pj_api*("C5"="C5"))))*tarif_lettre+(INDEX(tblT,MATCH("T1",codesT,0),5)+INDEX(tblT,MATCH("T1",codesT,0),6)*pj)*cout_page+IF(AND("C5"="C0",INDEX(tblT,MATCH("T1",codesT,0),9)&gt;=2),cout_num,0)+INDEX(tblC,MATCH("C5",codesC,0),11))))</f>
        <v>214388.052271313</v>
      </c>
      <c r="D23" s="49" t="n">
        <f aca="false">MAX(0,dossiers*s_adopt*((dep_tA-(INDEX(tblC,MATCH("C5",codesC,0),1)+champs*part_saisie*INDEX(tblC,MATCH("C5",codesC,0),2)+pj*(1-pj_api*("C5"="C5"))*INDEX(tblC,MATCH("C5",codesC,0),3)+INDEX(tblC,MATCH("C5",codesC,0),4)*(1+relance_par_pj*pj*(1-pj_api*("C5"="C5")))*INDEX(tblT,MATCH("T2",codesT,0),1)+etapes*INDEX(tblT,MATCH("T2",codesT,0),2)+INDEX(tblT,MATCH("T2",codesT,0),3)+IF(si_aval="Oui",INDEX(tblT,MATCH("T2",codesT,0),4),0)+INDEX(tblC,MATCH("C5",codesC,0),5)))*s_fact/60*cout_h+dep_fr-(INDEX(tblC,MATCH("C5",codesC,0),10)*(1+INDEX(tblC,MATCH("C5",codesC,0),4)*(1+relance_par_pj*pj*(1-pj_api*("C5"="C5"))))*tarif_lettre+(INDEX(tblT,MATCH("T2",codesT,0),5)+INDEX(tblT,MATCH("T2",codesT,0),6)*pj)*cout_page+IF(AND("C5"="C0",INDEX(tblT,MATCH("T2",codesT,0),9)&gt;=2),cout_num,0)+INDEX(tblC,MATCH("C5",codesC,0),11))))</f>
        <v>324246.48828044</v>
      </c>
      <c r="E23" s="49" t="n">
        <f aca="false">MAX(0,dossiers*s_adopt*((dep_tA-(INDEX(tblC,MATCH("C5",codesC,0),1)+champs*part_saisie*INDEX(tblC,MATCH("C5",codesC,0),2)+pj*(1-pj_api*("C5"="C5"))*INDEX(tblC,MATCH("C5",codesC,0),3)+INDEX(tblC,MATCH("C5",codesC,0),4)*(1+relance_par_pj*pj*(1-pj_api*("C5"="C5")))*INDEX(tblT,MATCH("T3",codesT,0),1)+etapes*INDEX(tblT,MATCH("T3",codesT,0),2)+INDEX(tblT,MATCH("T3",codesT,0),3)+IF(si_aval="Oui",INDEX(tblT,MATCH("T3",codesT,0),4),0)+INDEX(tblC,MATCH("C5",codesC,0),5)))*s_fact/60*cout_h+dep_fr-(INDEX(tblC,MATCH("C5",codesC,0),10)*(1+INDEX(tblC,MATCH("C5",codesC,0),4)*(1+relance_par_pj*pj*(1-pj_api*("C5"="C5"))))*tarif_lettre+(INDEX(tblT,MATCH("T3",codesT,0),5)+INDEX(tblT,MATCH("T3",codesT,0),6)*pj)*cout_page+IF(AND("C5"="C0",INDEX(tblT,MATCH("T3",codesT,0),9)&gt;=2),cout_num,0)+INDEX(tblC,MATCH("C5",codesC,0),11))))</f>
        <v>406433.586392865</v>
      </c>
    </row>
    <row r="24" customFormat="false" ht="15" hidden="false" customHeight="false" outlineLevel="0" collapsed="false">
      <c r="A24" s="1"/>
      <c r="B24" s="1"/>
      <c r="C24" s="1"/>
      <c r="D24" s="1"/>
      <c r="E24" s="1"/>
    </row>
    <row r="25" customFormat="false" ht="15" hidden="false" customHeight="false" outlineLevel="0" collapsed="false">
      <c r="A25" s="20" t="s">
        <v>293</v>
      </c>
      <c r="B25" s="1"/>
      <c r="C25" s="1"/>
      <c r="D25" s="1"/>
      <c r="E25" s="1"/>
    </row>
    <row r="26" customFormat="false" ht="15" hidden="false" customHeight="false" outlineLevel="0" collapsed="false">
      <c r="A26" s="1"/>
      <c r="B26" s="46" t="s">
        <v>179</v>
      </c>
      <c r="C26" s="46" t="s">
        <v>85</v>
      </c>
      <c r="D26" s="46" t="s">
        <v>106</v>
      </c>
      <c r="E26" s="46" t="s">
        <v>89</v>
      </c>
    </row>
    <row r="27" customFormat="false" ht="27.75" hidden="false" customHeight="true" outlineLevel="0" collapsed="false">
      <c r="A27" s="1"/>
      <c r="B27" s="47" t="s">
        <v>180</v>
      </c>
      <c r="C27" s="47" t="s">
        <v>181</v>
      </c>
      <c r="D27" s="47" t="s">
        <v>182</v>
      </c>
      <c r="E27" s="47" t="s">
        <v>183</v>
      </c>
    </row>
    <row r="28" customFormat="false" ht="15" hidden="false" customHeight="false" outlineLevel="0" collapsed="false">
      <c r="A28" s="20" t="s">
        <v>12</v>
      </c>
      <c r="B28" s="48" t="n">
        <f aca="false">INDEX(tblC,MATCH("C0",codesC,0),9)+INDEX(tblC,MATCH("C0",codesC,0),4)*(1+relance_par_pj*pj*(1-pj_api*("C0"="C5")))*INDEX(tblT,MATCH("T0",codesT,0),7)+etapes*INDEX(tblT,MATCH("T0",codesT,0),8)</f>
        <v>20.2</v>
      </c>
      <c r="C28" s="48" t="n">
        <f aca="false">INDEX(tblC,MATCH("C0",codesC,0),9)+INDEX(tblC,MATCH("C0",codesC,0),4)*(1+relance_par_pj*pj*(1-pj_api*("C0"="C5")))*INDEX(tblT,MATCH("T1",codesT,0),7)+etapes*INDEX(tblT,MATCH("T1",codesT,0),8)</f>
        <v>16.76</v>
      </c>
      <c r="D28" s="48" t="n">
        <f aca="false">INDEX(tblC,MATCH("C0",codesC,0),9)+INDEX(tblC,MATCH("C0",codesC,0),4)*(1+relance_par_pj*pj*(1-pj_api*("C0"="C5")))*INDEX(tblT,MATCH("T2",codesT,0),7)+etapes*INDEX(tblT,MATCH("T2",codesT,0),8)</f>
        <v>8.4</v>
      </c>
      <c r="E28" s="48" t="n">
        <f aca="false">INDEX(tblC,MATCH("C0",codesC,0),9)+INDEX(tblC,MATCH("C0",codesC,0),4)*(1+relance_par_pj*pj*(1-pj_api*("C0"="C5")))*INDEX(tblT,MATCH("T3",codesT,0),7)+etapes*INDEX(tblT,MATCH("T3",codesT,0),8)</f>
        <v>7.4</v>
      </c>
    </row>
    <row r="29" customFormat="false" ht="15" hidden="false" customHeight="false" outlineLevel="0" collapsed="false">
      <c r="A29" s="20" t="s">
        <v>13</v>
      </c>
      <c r="B29" s="48" t="n">
        <f aca="false">INDEX(tblC,MATCH("C1",codesC,0),9)+INDEX(tblC,MATCH("C1",codesC,0),4)*(1+relance_par_pj*pj*(1-pj_api*("C1"="C5")))*INDEX(tblT,MATCH("T0",codesT,0),7)+etapes*INDEX(tblT,MATCH("T0",codesT,0),8)</f>
        <v>19.4</v>
      </c>
      <c r="C29" s="48" t="n">
        <f aca="false">INDEX(tblC,MATCH("C1",codesC,0),9)+INDEX(tblC,MATCH("C1",codesC,0),4)*(1+relance_par_pj*pj*(1-pj_api*("C1"="C5")))*INDEX(tblT,MATCH("T1",codesT,0),7)+etapes*INDEX(tblT,MATCH("T1",codesT,0),8)</f>
        <v>15.72</v>
      </c>
      <c r="D29" s="48" t="n">
        <f aca="false">INDEX(tblC,MATCH("C1",codesC,0),9)+INDEX(tblC,MATCH("C1",codesC,0),4)*(1+relance_par_pj*pj*(1-pj_api*("C1"="C5")))*INDEX(tblT,MATCH("T2",codesT,0),7)+etapes*INDEX(tblT,MATCH("T2",codesT,0),8)</f>
        <v>6.8</v>
      </c>
      <c r="E29" s="48" t="n">
        <f aca="false">INDEX(tblC,MATCH("C1",codesC,0),9)+INDEX(tblC,MATCH("C1",codesC,0),4)*(1+relance_par_pj*pj*(1-pj_api*("C1"="C5")))*INDEX(tblT,MATCH("T3",codesT,0),7)+etapes*INDEX(tblT,MATCH("T3",codesT,0),8)</f>
        <v>5.8</v>
      </c>
    </row>
    <row r="30" customFormat="false" ht="15" hidden="false" customHeight="false" outlineLevel="0" collapsed="false">
      <c r="A30" s="20" t="s">
        <v>14</v>
      </c>
      <c r="B30" s="48" t="n">
        <f aca="false">INDEX(tblC,MATCH("C2",codesC,0),9)+INDEX(tblC,MATCH("C2",codesC,0),4)*(1+relance_par_pj*pj*(1-pj_api*("C2"="C5")))*INDEX(tblT,MATCH("T0",codesT,0),7)+etapes*INDEX(tblT,MATCH("T0",codesT,0),8)</f>
        <v>17</v>
      </c>
      <c r="C30" s="48" t="n">
        <f aca="false">INDEX(tblC,MATCH("C2",codesC,0),9)+INDEX(tblC,MATCH("C2",codesC,0),4)*(1+relance_par_pj*pj*(1-pj_api*("C2"="C5")))*INDEX(tblT,MATCH("T1",codesT,0),7)+etapes*INDEX(tblT,MATCH("T1",codesT,0),8)</f>
        <v>13.8</v>
      </c>
      <c r="D30" s="48" t="n">
        <f aca="false">INDEX(tblC,MATCH("C2",codesC,0),9)+INDEX(tblC,MATCH("C2",codesC,0),4)*(1+relance_par_pj*pj*(1-pj_api*("C2"="C5")))*INDEX(tblT,MATCH("T2",codesT,0),7)+etapes*INDEX(tblT,MATCH("T2",codesT,0),8)</f>
        <v>6</v>
      </c>
      <c r="E30" s="48" t="n">
        <f aca="false">INDEX(tblC,MATCH("C2",codesC,0),9)+INDEX(tblC,MATCH("C2",codesC,0),4)*(1+relance_par_pj*pj*(1-pj_api*("C2"="C5")))*INDEX(tblT,MATCH("T3",codesT,0),7)+etapes*INDEX(tblT,MATCH("T3",codesT,0),8)</f>
        <v>5</v>
      </c>
    </row>
    <row r="31" customFormat="false" ht="15" hidden="false" customHeight="false" outlineLevel="0" collapsed="false">
      <c r="A31" s="20" t="s">
        <v>15</v>
      </c>
      <c r="B31" s="48" t="n">
        <f aca="false">INDEX(tblC,MATCH("C3",codesC,0),9)+INDEX(tblC,MATCH("C3",codesC,0),4)*(1+relance_par_pj*pj*(1-pj_api*("C3"="C5")))*INDEX(tblT,MATCH("T0",codesT,0),7)+etapes*INDEX(tblT,MATCH("T0",codesT,0),8)</f>
        <v>15.3</v>
      </c>
      <c r="C31" s="48" t="n">
        <f aca="false">INDEX(tblC,MATCH("C3",codesC,0),9)+INDEX(tblC,MATCH("C3",codesC,0),4)*(1+relance_par_pj*pj*(1-pj_api*("C3"="C5")))*INDEX(tblT,MATCH("T1",codesT,0),7)+etapes*INDEX(tblT,MATCH("T1",codesT,0),8)</f>
        <v>12.34</v>
      </c>
      <c r="D31" s="48" t="n">
        <f aca="false">INDEX(tblC,MATCH("C3",codesC,0),9)+INDEX(tblC,MATCH("C3",codesC,0),4)*(1+relance_par_pj*pj*(1-pj_api*("C3"="C5")))*INDEX(tblT,MATCH("T2",codesT,0),7)+etapes*INDEX(tblT,MATCH("T2",codesT,0),8)</f>
        <v>5.1</v>
      </c>
      <c r="E31" s="48" t="n">
        <f aca="false">INDEX(tblC,MATCH("C3",codesC,0),9)+INDEX(tblC,MATCH("C3",codesC,0),4)*(1+relance_par_pj*pj*(1-pj_api*("C3"="C5")))*INDEX(tblT,MATCH("T3",codesT,0),7)+etapes*INDEX(tblT,MATCH("T3",codesT,0),8)</f>
        <v>4.1</v>
      </c>
    </row>
    <row r="32" customFormat="false" ht="15" hidden="false" customHeight="false" outlineLevel="0" collapsed="false">
      <c r="A32" s="20" t="s">
        <v>16</v>
      </c>
      <c r="B32" s="48" t="n">
        <f aca="false">INDEX(tblC,MATCH("C4",codesC,0),9)+INDEX(tblC,MATCH("C4",codesC,0),4)*(1+relance_par_pj*pj*(1-pj_api*("C4"="C5")))*INDEX(tblT,MATCH("T0",codesT,0),7)+etapes*INDEX(tblT,MATCH("T0",codesT,0),8)</f>
        <v>12.4</v>
      </c>
      <c r="C32" s="48" t="n">
        <f aca="false">INDEX(tblC,MATCH("C4",codesC,0),9)+INDEX(tblC,MATCH("C4",codesC,0),4)*(1+relance_par_pj*pj*(1-pj_api*("C4"="C5")))*INDEX(tblT,MATCH("T1",codesT,0),7)+etapes*INDEX(tblT,MATCH("T1",codesT,0),8)</f>
        <v>9.92</v>
      </c>
      <c r="D32" s="48" t="n">
        <f aca="false">INDEX(tblC,MATCH("C4",codesC,0),9)+INDEX(tblC,MATCH("C4",codesC,0),4)*(1+relance_par_pj*pj*(1-pj_api*("C4"="C5")))*INDEX(tblT,MATCH("T2",codesT,0),7)+etapes*INDEX(tblT,MATCH("T2",codesT,0),8)</f>
        <v>3.8</v>
      </c>
      <c r="E32" s="48" t="n">
        <f aca="false">INDEX(tblC,MATCH("C4",codesC,0),9)+INDEX(tblC,MATCH("C4",codesC,0),4)*(1+relance_par_pj*pj*(1-pj_api*("C4"="C5")))*INDEX(tblT,MATCH("T3",codesT,0),7)+etapes*INDEX(tblT,MATCH("T3",codesT,0),8)</f>
        <v>2.8</v>
      </c>
    </row>
    <row r="33" customFormat="false" ht="15" hidden="false" customHeight="false" outlineLevel="0" collapsed="false">
      <c r="A33" s="20" t="s">
        <v>17</v>
      </c>
      <c r="B33" s="48" t="n">
        <f aca="false">INDEX(tblC,MATCH("C5",codesC,0),9)+INDEX(tblC,MATCH("C5",codesC,0),4)*(1+relance_par_pj*pj*(1-pj_api*("C5"="C5")))*INDEX(tblT,MATCH("T0",codesT,0),7)+etapes*INDEX(tblT,MATCH("T0",codesT,0),8)</f>
        <v>10.975</v>
      </c>
      <c r="C33" s="48" t="n">
        <f aca="false">INDEX(tblC,MATCH("C5",codesC,0),9)+INDEX(tblC,MATCH("C5",codesC,0),4)*(1+relance_par_pj*pj*(1-pj_api*("C5"="C5")))*INDEX(tblT,MATCH("T1",codesT,0),7)+etapes*INDEX(tblT,MATCH("T1",codesT,0),8)</f>
        <v>8.78</v>
      </c>
      <c r="D33" s="48" t="n">
        <f aca="false">INDEX(tblC,MATCH("C5",codesC,0),9)+INDEX(tblC,MATCH("C5",codesC,0),4)*(1+relance_par_pj*pj*(1-pj_api*("C5"="C5")))*INDEX(tblT,MATCH("T2",codesT,0),7)+etapes*INDEX(tblT,MATCH("T2",codesT,0),8)</f>
        <v>3.325</v>
      </c>
      <c r="E33" s="48" t="n">
        <f aca="false">INDEX(tblC,MATCH("C5",codesC,0),9)+INDEX(tblC,MATCH("C5",codesC,0),4)*(1+relance_par_pj*pj*(1-pj_api*("C5"="C5")))*INDEX(tblT,MATCH("T3",codesT,0),7)+etapes*INDEX(tblT,MATCH("T3",codesT,0),8)</f>
        <v>2.325</v>
      </c>
    </row>
    <row r="34" customFormat="false" ht="15" hidden="false" customHeight="false" outlineLevel="0" collapsed="false">
      <c r="A34" s="1"/>
      <c r="B34" s="1"/>
      <c r="C34" s="1"/>
      <c r="D34" s="1"/>
      <c r="E34" s="1"/>
    </row>
    <row r="35" customFormat="false" ht="15" hidden="false" customHeight="false" outlineLevel="0" collapsed="false">
      <c r="A35" s="8" t="s">
        <v>294</v>
      </c>
      <c r="B35" s="1"/>
      <c r="C35" s="1"/>
      <c r="D35" s="1"/>
      <c r="E35" s="1"/>
    </row>
  </sheetData>
  <conditionalFormatting sqref="B8:E13">
    <cfRule type="colorScale" priority="2">
      <colorScale>
        <cfvo type="min" val="0"/>
        <cfvo type="percentile" val="50"/>
        <cfvo type="max" val="0"/>
        <color rgb="FFECFEFF"/>
        <color rgb="FFFFFBEB"/>
        <color rgb="FFF4C7A1"/>
      </colorScale>
    </cfRule>
  </conditionalFormatting>
  <conditionalFormatting sqref="B18:E23">
    <cfRule type="colorScale" priority="3">
      <colorScale>
        <cfvo type="min" val="0"/>
        <cfvo type="max" val="0"/>
        <color rgb="FFFFFFFF"/>
        <color rgb="FF86EFAC"/>
      </colorScale>
    </cfRule>
  </conditionalFormatting>
  <conditionalFormatting sqref="B28:E33">
    <cfRule type="colorScale" priority="4">
      <colorScale>
        <cfvo type="min" val="0"/>
        <cfvo type="percentile" val="50"/>
        <cfvo type="max" val="0"/>
        <color rgb="FFECFEFF"/>
        <color rgb="FFFFFBEB"/>
        <color rgb="FFF4C7A1"/>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50"/>
    <col collapsed="false" customWidth="true" hidden="false" outlineLevel="0" max="3" min="3" style="0" width="14"/>
    <col collapsed="false" customWidth="true" hidden="false" outlineLevel="0" max="4" min="4" style="0" width="16"/>
    <col collapsed="false" customWidth="true" hidden="false" outlineLevel="0" max="5" min="5" style="0" width="22"/>
    <col collapsed="false" customWidth="true" hidden="false" outlineLevel="0" max="6" min="6" style="0" width="50"/>
    <col collapsed="false" customWidth="true" hidden="false" outlineLevel="0" max="7" min="7" style="0" width="20"/>
    <col collapsed="false" customWidth="true" hidden="false" outlineLevel="0" max="8" min="8" style="0" width="24"/>
  </cols>
  <sheetData>
    <row r="1" customFormat="false" ht="17.35" hidden="false" customHeight="false" outlineLevel="0" collapsed="false">
      <c r="A1" s="7" t="s">
        <v>295</v>
      </c>
      <c r="B1" s="1"/>
      <c r="C1" s="1"/>
      <c r="D1" s="1"/>
      <c r="E1" s="1"/>
      <c r="F1" s="1"/>
    </row>
    <row r="2" customFormat="false" ht="15" hidden="false" customHeight="false" outlineLevel="0" collapsed="false">
      <c r="A2" s="8" t="s">
        <v>296</v>
      </c>
      <c r="B2" s="1"/>
      <c r="C2" s="1"/>
      <c r="D2" s="1"/>
      <c r="E2" s="1"/>
      <c r="F2" s="1"/>
    </row>
    <row r="3" customFormat="false" ht="15" hidden="false" customHeight="false" outlineLevel="0" collapsed="false">
      <c r="A3" s="1"/>
      <c r="B3" s="1"/>
      <c r="C3" s="1"/>
      <c r="D3" s="1"/>
      <c r="E3" s="1"/>
      <c r="F3" s="1"/>
    </row>
    <row r="4" customFormat="false" ht="15" hidden="false" customHeight="false" outlineLevel="0" collapsed="false">
      <c r="A4" s="20" t="s">
        <v>297</v>
      </c>
      <c r="B4" s="1"/>
      <c r="C4" s="1"/>
      <c r="D4" s="1"/>
      <c r="E4" s="1"/>
      <c r="F4" s="1"/>
    </row>
    <row r="5" customFormat="false" ht="15" hidden="false" customHeight="false" outlineLevel="0" collapsed="false">
      <c r="A5" s="20" t="s">
        <v>298</v>
      </c>
      <c r="B5" s="1"/>
      <c r="C5" s="1"/>
      <c r="D5" s="1"/>
      <c r="E5" s="1"/>
      <c r="F5" s="1"/>
    </row>
    <row r="6" customFormat="false" ht="39.55" hidden="false" customHeight="false" outlineLevel="0" collapsed="false">
      <c r="A6" s="9" t="s">
        <v>112</v>
      </c>
      <c r="B6" s="9" t="s">
        <v>299</v>
      </c>
      <c r="C6" s="9" t="s">
        <v>300</v>
      </c>
      <c r="D6" s="9" t="s">
        <v>301</v>
      </c>
      <c r="E6" s="9" t="s">
        <v>302</v>
      </c>
      <c r="F6" s="9" t="s">
        <v>303</v>
      </c>
    </row>
    <row r="7" customFormat="false" ht="15" hidden="false" customHeight="false" outlineLevel="0" collapsed="false">
      <c r="A7" s="10" t="s">
        <v>304</v>
      </c>
      <c r="B7" s="10" t="s">
        <v>305</v>
      </c>
      <c r="C7" s="14" t="n">
        <f aca="false">etpS_p*rep_A/rep_tot</f>
        <v>0.450230242688239</v>
      </c>
      <c r="D7" s="16" t="n">
        <f aca="false">C7*cout_A</f>
        <v>36018.4194150591</v>
      </c>
      <c r="E7" s="16" t="n">
        <f aca="false">cout_A</f>
        <v>80000</v>
      </c>
      <c r="F7" s="10" t="s">
        <v>306</v>
      </c>
    </row>
    <row r="8" customFormat="false" ht="15" hidden="false" customHeight="false" outlineLevel="0" collapsed="false">
      <c r="A8" s="10" t="s">
        <v>307</v>
      </c>
      <c r="B8" s="10" t="s">
        <v>305</v>
      </c>
      <c r="C8" s="14" t="n">
        <f aca="false">etpS_p*rep_B/rep_tot</f>
        <v>1.1255756067206</v>
      </c>
      <c r="D8" s="16" t="n">
        <f aca="false">C8*cout_B</f>
        <v>67534.5364032359</v>
      </c>
      <c r="E8" s="16" t="n">
        <f aca="false">cout_B</f>
        <v>60000</v>
      </c>
      <c r="F8" s="10" t="s">
        <v>306</v>
      </c>
    </row>
    <row r="9" customFormat="false" ht="15" hidden="false" customHeight="false" outlineLevel="0" collapsed="false">
      <c r="A9" s="10" t="s">
        <v>308</v>
      </c>
      <c r="B9" s="10" t="s">
        <v>305</v>
      </c>
      <c r="C9" s="14" t="n">
        <f aca="false">etpS_p*rep_C/rep_tot</f>
        <v>0.675345364032359</v>
      </c>
      <c r="D9" s="16" t="n">
        <f aca="false">C9*cout_C</f>
        <v>32416.5774735532</v>
      </c>
      <c r="E9" s="16" t="n">
        <f aca="false">cout_C</f>
        <v>48000</v>
      </c>
      <c r="F9" s="10" t="s">
        <v>306</v>
      </c>
    </row>
    <row r="10" customFormat="false" ht="15" hidden="false" customHeight="false" outlineLevel="0" collapsed="false">
      <c r="A10" s="15" t="s">
        <v>309</v>
      </c>
      <c r="B10" s="1"/>
      <c r="C10" s="44" t="n">
        <f aca="false">SUM(C7:C9)</f>
        <v>2.2511512134412</v>
      </c>
      <c r="D10" s="50" t="n">
        <f aca="false">SUM(D7:D9)</f>
        <v>135969.533291848</v>
      </c>
      <c r="E10" s="1"/>
      <c r="F10" s="1"/>
    </row>
    <row r="11" customFormat="false" ht="15" hidden="false" customHeight="false" outlineLevel="0" collapsed="false">
      <c r="A11" s="1"/>
      <c r="B11" s="1"/>
      <c r="C11" s="1"/>
      <c r="D11" s="1"/>
      <c r="E11" s="1"/>
      <c r="F11" s="1"/>
    </row>
    <row r="12" customFormat="false" ht="15" hidden="false" customHeight="false" outlineLevel="0" collapsed="false">
      <c r="A12" s="20" t="s">
        <v>310</v>
      </c>
      <c r="B12" s="1"/>
      <c r="C12" s="1"/>
      <c r="D12" s="1"/>
      <c r="E12" s="1"/>
      <c r="F12" s="1"/>
    </row>
    <row r="13" customFormat="false" ht="39.55" hidden="false" customHeight="false" outlineLevel="0" collapsed="false">
      <c r="A13" s="9" t="s">
        <v>112</v>
      </c>
      <c r="B13" s="9" t="s">
        <v>311</v>
      </c>
      <c r="C13" s="9" t="s">
        <v>300</v>
      </c>
      <c r="D13" s="9" t="s">
        <v>301</v>
      </c>
      <c r="E13" s="9" t="s">
        <v>312</v>
      </c>
      <c r="F13" s="9" t="s">
        <v>303</v>
      </c>
    </row>
    <row r="14" customFormat="false" ht="15" hidden="false" customHeight="false" outlineLevel="0" collapsed="false">
      <c r="A14" s="10" t="s">
        <v>313</v>
      </c>
      <c r="B14" s="24"/>
      <c r="C14" s="14" t="n">
        <f aca="false">etpR_p*rep_A/rep_tot</f>
        <v>0.836141879278158</v>
      </c>
      <c r="D14" s="42" t="n">
        <v>0</v>
      </c>
      <c r="E14" s="16" t="n">
        <f aca="false">C14*cout_A</f>
        <v>66891.3503422527</v>
      </c>
      <c r="F14" s="10" t="s">
        <v>314</v>
      </c>
    </row>
    <row r="15" customFormat="false" ht="15" hidden="false" customHeight="false" outlineLevel="0" collapsed="false">
      <c r="A15" s="10" t="s">
        <v>315</v>
      </c>
      <c r="B15" s="24"/>
      <c r="C15" s="14" t="n">
        <f aca="false">etpR_p*rep_B/rep_tot</f>
        <v>2.0903546981954</v>
      </c>
      <c r="D15" s="42" t="n">
        <v>0</v>
      </c>
      <c r="E15" s="16" t="n">
        <f aca="false">C15*cout_B</f>
        <v>125421.281891724</v>
      </c>
      <c r="F15" s="10" t="s">
        <v>314</v>
      </c>
    </row>
    <row r="16" customFormat="false" ht="15" hidden="false" customHeight="false" outlineLevel="0" collapsed="false">
      <c r="A16" s="10" t="s">
        <v>316</v>
      </c>
      <c r="B16" s="24"/>
      <c r="C16" s="14" t="n">
        <f aca="false">etpR_p*rep_C/rep_tot</f>
        <v>1.25421281891724</v>
      </c>
      <c r="D16" s="42" t="n">
        <v>0</v>
      </c>
      <c r="E16" s="16" t="n">
        <f aca="false">C16*cout_C</f>
        <v>60202.2153080274</v>
      </c>
      <c r="F16" s="10" t="s">
        <v>314</v>
      </c>
    </row>
    <row r="17" customFormat="false" ht="15" hidden="false" customHeight="false" outlineLevel="0" collapsed="false">
      <c r="A17" s="15" t="s">
        <v>317</v>
      </c>
      <c r="B17" s="1"/>
      <c r="C17" s="44" t="n">
        <f aca="false">SUM(C14:C16)</f>
        <v>4.18070939639079</v>
      </c>
      <c r="D17" s="50" t="n">
        <f aca="false">SUM(D14:D16)</f>
        <v>0</v>
      </c>
      <c r="E17" s="50" t="n">
        <f aca="false">SUM(E14:E16)</f>
        <v>252514.847542004</v>
      </c>
      <c r="F17" s="1"/>
    </row>
    <row r="18" customFormat="false" ht="15" hidden="false" customHeight="false" outlineLevel="0" collapsed="false">
      <c r="A18" s="1"/>
      <c r="B18" s="1"/>
      <c r="C18" s="1"/>
      <c r="D18" s="1"/>
      <c r="E18" s="1"/>
      <c r="F18" s="1"/>
    </row>
    <row r="19" customFormat="false" ht="15" hidden="false" customHeight="false" outlineLevel="0" collapsed="false">
      <c r="A19" s="20" t="s">
        <v>318</v>
      </c>
      <c r="B19" s="1"/>
      <c r="C19" s="1"/>
      <c r="D19" s="1"/>
      <c r="E19" s="1"/>
      <c r="F19" s="1"/>
    </row>
    <row r="20" customFormat="false" ht="39.55" hidden="false" customHeight="false" outlineLevel="0" collapsed="false">
      <c r="A20" s="9" t="s">
        <v>112</v>
      </c>
      <c r="B20" s="9" t="s">
        <v>299</v>
      </c>
      <c r="C20" s="9"/>
      <c r="D20" s="9" t="s">
        <v>301</v>
      </c>
      <c r="E20" s="9" t="s">
        <v>319</v>
      </c>
      <c r="F20" s="9" t="s">
        <v>303</v>
      </c>
    </row>
    <row r="21" customFormat="false" ht="15" hidden="false" customHeight="false" outlineLevel="0" collapsed="false">
      <c r="A21" s="10" t="s">
        <v>320</v>
      </c>
      <c r="B21" s="10" t="s">
        <v>321</v>
      </c>
      <c r="C21" s="1"/>
      <c r="D21" s="16" t="n">
        <f aca="false">eF3_p+d_presta</f>
        <v>0</v>
      </c>
      <c r="E21" s="51" t="str">
        <f aca="false">IF(d_presta&gt;0,d_presta_j,"—")</f>
        <v>—</v>
      </c>
      <c r="F21" s="10" t="s">
        <v>322</v>
      </c>
    </row>
    <row r="22" customFormat="false" ht="15" hidden="false" customHeight="false" outlineLevel="0" collapsed="false">
      <c r="A22" s="10" t="s">
        <v>323</v>
      </c>
      <c r="B22" s="10" t="s">
        <v>324</v>
      </c>
      <c r="C22" s="1"/>
      <c r="D22" s="16" t="n">
        <f aca="false">d_mco</f>
        <v>30000</v>
      </c>
      <c r="E22" s="51" t="str">
        <f aca="false">d_mco_j</f>
        <v>Oui</v>
      </c>
      <c r="F22" s="10" t="s">
        <v>324</v>
      </c>
    </row>
    <row r="23" customFormat="false" ht="15" hidden="false" customHeight="false" outlineLevel="0" collapsed="false">
      <c r="A23" s="10" t="s">
        <v>325</v>
      </c>
      <c r="B23" s="10" t="s">
        <v>324</v>
      </c>
      <c r="C23" s="1"/>
      <c r="D23" s="16" t="n">
        <f aca="false">d_lic</f>
        <v>0</v>
      </c>
      <c r="E23" s="51" t="str">
        <f aca="false">d_lic_j</f>
        <v>Non</v>
      </c>
      <c r="F23" s="10" t="s">
        <v>324</v>
      </c>
    </row>
    <row r="24" customFormat="false" ht="15" hidden="false" customHeight="false" outlineLevel="0" collapsed="false">
      <c r="A24" s="10" t="s">
        <v>326</v>
      </c>
      <c r="B24" s="10" t="s">
        <v>324</v>
      </c>
      <c r="C24" s="1"/>
      <c r="D24" s="16" t="n">
        <f aca="false">d_infra</f>
        <v>0</v>
      </c>
      <c r="E24" s="51" t="str">
        <f aca="false">d_infra_j</f>
        <v>Non</v>
      </c>
      <c r="F24" s="10" t="s">
        <v>324</v>
      </c>
    </row>
    <row r="25" customFormat="false" ht="15" hidden="false" customHeight="false" outlineLevel="0" collapsed="false">
      <c r="A25" s="10" t="s">
        <v>327</v>
      </c>
      <c r="B25" s="10" t="s">
        <v>324</v>
      </c>
      <c r="C25" s="1"/>
      <c r="D25" s="16" t="n">
        <f aca="false">d_immo</f>
        <v>0</v>
      </c>
      <c r="E25" s="51" t="str">
        <f aca="false">d_immo_j</f>
        <v>Non</v>
      </c>
      <c r="F25" s="10" t="s">
        <v>324</v>
      </c>
    </row>
    <row r="26" customFormat="false" ht="15" hidden="false" customHeight="false" outlineLevel="0" collapsed="false">
      <c r="A26" s="10" t="s">
        <v>328</v>
      </c>
      <c r="B26" s="10" t="s">
        <v>329</v>
      </c>
      <c r="C26" s="1"/>
      <c r="D26" s="16" t="n">
        <f aca="false">eF1_p</f>
        <v>0</v>
      </c>
      <c r="E26" s="51" t="s">
        <v>330</v>
      </c>
      <c r="F26" s="10" t="s">
        <v>331</v>
      </c>
    </row>
    <row r="27" customFormat="false" ht="15" hidden="false" customHeight="false" outlineLevel="0" collapsed="false">
      <c r="A27" s="10" t="s">
        <v>332</v>
      </c>
      <c r="B27" s="10" t="s">
        <v>333</v>
      </c>
      <c r="C27" s="1"/>
      <c r="D27" s="16" t="n">
        <f aca="false">eF2_p</f>
        <v>5120</v>
      </c>
      <c r="E27" s="51" t="s">
        <v>330</v>
      </c>
      <c r="F27" s="10" t="s">
        <v>331</v>
      </c>
    </row>
    <row r="28" customFormat="false" ht="15" hidden="false" customHeight="false" outlineLevel="0" collapsed="false">
      <c r="A28" s="10" t="s">
        <v>334</v>
      </c>
      <c r="B28" s="10" t="s">
        <v>335</v>
      </c>
      <c r="C28" s="1"/>
      <c r="D28" s="16" t="n">
        <f aca="false">eF4_p</f>
        <v>0</v>
      </c>
      <c r="E28" s="51" t="s">
        <v>330</v>
      </c>
      <c r="F28" s="10" t="s">
        <v>331</v>
      </c>
    </row>
    <row r="29" customFormat="false" ht="15" hidden="false" customHeight="false" outlineLevel="0" collapsed="false">
      <c r="A29" s="10" t="s">
        <v>336</v>
      </c>
      <c r="B29" s="10" t="s">
        <v>324</v>
      </c>
      <c r="C29" s="1"/>
      <c r="D29" s="16" t="n">
        <f aca="false">d_autre</f>
        <v>0</v>
      </c>
      <c r="E29" s="51" t="str">
        <f aca="false">d_autre_j</f>
        <v>Non</v>
      </c>
      <c r="F29" s="10" t="s">
        <v>324</v>
      </c>
    </row>
    <row r="30" customFormat="false" ht="15" hidden="false" customHeight="false" outlineLevel="0" collapsed="false">
      <c r="A30" s="15" t="s">
        <v>337</v>
      </c>
      <c r="B30" s="1"/>
      <c r="C30" s="1"/>
      <c r="D30" s="50" t="n">
        <f aca="false">SUM(D21:D29)</f>
        <v>35120</v>
      </c>
      <c r="E30" s="1"/>
      <c r="F30" s="1"/>
    </row>
    <row r="31" customFormat="false" ht="15" hidden="false" customHeight="false" outlineLevel="0" collapsed="false">
      <c r="A31" s="1"/>
      <c r="B31" s="1"/>
      <c r="C31" s="1"/>
      <c r="D31" s="1"/>
      <c r="E31" s="1"/>
      <c r="F31" s="1"/>
    </row>
    <row r="32" customFormat="false" ht="15" hidden="false" customHeight="false" outlineLevel="0" collapsed="false">
      <c r="A32" s="20" t="s">
        <v>338</v>
      </c>
      <c r="B32" s="1"/>
      <c r="C32" s="1"/>
      <c r="D32" s="1"/>
      <c r="E32" s="1"/>
      <c r="F32" s="1"/>
    </row>
    <row r="33" customFormat="false" ht="15" hidden="false" customHeight="false" outlineLevel="0" collapsed="false">
      <c r="A33" s="10" t="s">
        <v>339</v>
      </c>
      <c r="B33" s="10" t="s">
        <v>324</v>
      </c>
      <c r="C33" s="1"/>
      <c r="D33" s="16" t="n">
        <f aca="false">d_inv</f>
        <v>0</v>
      </c>
      <c r="E33" s="51" t="str">
        <f aca="false">d_inv_j</f>
        <v>Non</v>
      </c>
      <c r="F33" s="1"/>
    </row>
    <row r="34" customFormat="false" ht="15" hidden="false" customHeight="false" outlineLevel="0" collapsed="false">
      <c r="A34" s="1"/>
      <c r="B34" s="1"/>
      <c r="C34" s="1"/>
      <c r="D34" s="1"/>
      <c r="E34" s="1"/>
      <c r="F34" s="1"/>
    </row>
    <row r="35" customFormat="false" ht="15" hidden="false" customHeight="false" outlineLevel="0" collapsed="false">
      <c r="A35" s="20" t="s">
        <v>340</v>
      </c>
      <c r="B35" s="1"/>
      <c r="C35" s="1"/>
      <c r="D35" s="1"/>
      <c r="E35" s="1"/>
      <c r="F35" s="1"/>
    </row>
    <row r="36" customFormat="false" ht="15" hidden="false" customHeight="false" outlineLevel="0" collapsed="false">
      <c r="A36" s="10" t="s">
        <v>341</v>
      </c>
      <c r="B36" s="10" t="s">
        <v>324</v>
      </c>
      <c r="C36" s="1"/>
      <c r="D36" s="16" t="n">
        <f aca="false">d_cont</f>
        <v>15000</v>
      </c>
      <c r="E36" s="51" t="str">
        <f aca="false">d_cont_j</f>
        <v>Non</v>
      </c>
      <c r="F36" s="1"/>
    </row>
    <row r="37" customFormat="false" ht="15" hidden="false" customHeight="false" outlineLevel="0" collapsed="false">
      <c r="A37" s="10" t="s">
        <v>342</v>
      </c>
      <c r="B37" s="10" t="s">
        <v>324</v>
      </c>
      <c r="C37" s="1"/>
      <c r="D37" s="16" t="n">
        <f aca="false">d_ind</f>
        <v>0</v>
      </c>
      <c r="E37" s="51" t="str">
        <f aca="false">d_ind_j</f>
        <v>Non</v>
      </c>
      <c r="F37" s="1"/>
    </row>
    <row r="38" customFormat="false" ht="15" hidden="false" customHeight="false" outlineLevel="0" collapsed="false">
      <c r="A38" s="15" t="s">
        <v>343</v>
      </c>
      <c r="B38" s="1"/>
      <c r="C38" s="1"/>
      <c r="D38" s="50" t="n">
        <f aca="false">SUM(D36:D37)</f>
        <v>15000</v>
      </c>
      <c r="E38" s="1"/>
      <c r="F38" s="1"/>
    </row>
    <row r="39" customFormat="false" ht="15" hidden="false" customHeight="false" outlineLevel="0" collapsed="false">
      <c r="A39" s="1"/>
      <c r="B39" s="1"/>
      <c r="C39" s="1"/>
      <c r="D39" s="1"/>
      <c r="E39" s="1"/>
      <c r="F39" s="1"/>
    </row>
    <row r="40" customFormat="false" ht="15" hidden="false" customHeight="false" outlineLevel="0" collapsed="false">
      <c r="A40" s="20" t="s">
        <v>344</v>
      </c>
      <c r="B40" s="1"/>
      <c r="C40" s="1"/>
      <c r="D40" s="1"/>
      <c r="E40" s="1"/>
      <c r="F40" s="1"/>
    </row>
    <row r="41" customFormat="false" ht="15" hidden="false" customHeight="false" outlineLevel="0" collapsed="false">
      <c r="A41" s="10" t="s">
        <v>345</v>
      </c>
      <c r="B41" s="10" t="s">
        <v>324</v>
      </c>
      <c r="C41" s="1"/>
      <c r="D41" s="16" t="n">
        <f aca="false">d_rec</f>
        <v>0</v>
      </c>
      <c r="E41" s="51" t="str">
        <f aca="false">d_rec_j</f>
        <v>Non</v>
      </c>
      <c r="F41" s="1"/>
    </row>
    <row r="42" customFormat="false" ht="15" hidden="false" customHeight="false" outlineLevel="0" collapsed="false">
      <c r="A42" s="1"/>
      <c r="B42" s="1"/>
      <c r="C42" s="1"/>
      <c r="D42" s="1"/>
      <c r="E42" s="1"/>
      <c r="F42" s="1"/>
    </row>
    <row r="43" customFormat="false" ht="15" hidden="false" customHeight="false" outlineLevel="0" collapsed="false">
      <c r="A43" s="15" t="s">
        <v>346</v>
      </c>
      <c r="B43" s="1"/>
      <c r="C43" s="1"/>
      <c r="D43" s="50" t="n">
        <f aca="false">D10+D30</f>
        <v>171089.533291848</v>
      </c>
      <c r="E43" s="1"/>
      <c r="F43" s="1"/>
    </row>
    <row r="44" customFormat="false" ht="15" hidden="false" customHeight="false" outlineLevel="0" collapsed="false">
      <c r="A44" s="15" t="s">
        <v>347</v>
      </c>
      <c r="B44" s="1"/>
      <c r="C44" s="1"/>
      <c r="D44" s="50" t="n">
        <f aca="false">D33</f>
        <v>0</v>
      </c>
      <c r="E44" s="1"/>
      <c r="F44" s="1"/>
    </row>
    <row r="45" customFormat="false" ht="15" hidden="false" customHeight="false" outlineLevel="0" collapsed="false">
      <c r="A45" s="15" t="s">
        <v>348</v>
      </c>
      <c r="B45" s="1"/>
      <c r="C45" s="1"/>
      <c r="D45" s="50" t="n">
        <f aca="false">D38</f>
        <v>15000</v>
      </c>
      <c r="E45" s="1"/>
      <c r="F45" s="1"/>
    </row>
    <row r="46" customFormat="false" ht="15" hidden="false" customHeight="false" outlineLevel="0" collapsed="false">
      <c r="A46" s="15" t="s">
        <v>349</v>
      </c>
      <c r="B46" s="1"/>
      <c r="C46" s="1"/>
      <c r="D46" s="50" t="n">
        <f aca="false">D41</f>
        <v>0</v>
      </c>
      <c r="E46" s="1"/>
      <c r="F46" s="1"/>
    </row>
    <row r="47" customFormat="false" ht="15" hidden="false" customHeight="false" outlineLevel="0" collapsed="false">
      <c r="A47" s="1"/>
      <c r="B47" s="1"/>
      <c r="C47" s="1"/>
      <c r="D47" s="1"/>
      <c r="E47" s="1"/>
      <c r="F47" s="1"/>
    </row>
    <row r="48" customFormat="false" ht="15" hidden="false" customHeight="false" outlineLevel="0" collapsed="false">
      <c r="A48" s="20" t="s">
        <v>350</v>
      </c>
      <c r="B48" s="1"/>
      <c r="C48" s="1"/>
      <c r="D48" s="1"/>
      <c r="E48" s="1"/>
      <c r="F48" s="1"/>
    </row>
    <row r="49" customFormat="false" ht="15" hidden="false" customHeight="false" outlineLevel="0" collapsed="false">
      <c r="A49" s="10" t="s">
        <v>351</v>
      </c>
      <c r="B49" s="1"/>
      <c r="C49" s="1"/>
      <c r="D49" s="16" t="n">
        <f aca="false">vR_p</f>
        <v>252514.847542004</v>
      </c>
      <c r="E49" s="1"/>
      <c r="F49" s="1"/>
    </row>
    <row r="50" customFormat="false" ht="15" hidden="false" customHeight="false" outlineLevel="0" collapsed="false">
      <c r="A50" s="10" t="s">
        <v>352</v>
      </c>
      <c r="B50" s="1"/>
      <c r="C50" s="1"/>
      <c r="D50" s="16" t="n">
        <f aca="false">vU_p</f>
        <v>269577.28</v>
      </c>
      <c r="E50" s="1"/>
      <c r="F50" s="1"/>
    </row>
    <row r="51" customFormat="false" ht="15" hidden="false" customHeight="false" outlineLevel="0" collapsed="false">
      <c r="A51" s="10" t="s">
        <v>353</v>
      </c>
      <c r="B51" s="1"/>
      <c r="C51" s="1"/>
      <c r="D51" s="12" t="n">
        <f aca="false">dD_p</f>
        <v>11</v>
      </c>
      <c r="E51" s="1"/>
      <c r="F51" s="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9" min="2" style="0" width="14"/>
  </cols>
  <sheetData>
    <row r="1" customFormat="false" ht="17.35" hidden="false" customHeight="false" outlineLevel="0" collapsed="false">
      <c r="A1" s="7" t="s">
        <v>354</v>
      </c>
      <c r="B1" s="1"/>
      <c r="C1" s="1"/>
      <c r="D1" s="1"/>
      <c r="E1" s="1"/>
      <c r="F1" s="1"/>
      <c r="G1" s="1"/>
      <c r="H1" s="1"/>
      <c r="I1" s="1"/>
    </row>
    <row r="2" customFormat="false" ht="15" hidden="false" customHeight="false" outlineLevel="0" collapsed="false">
      <c r="A2" s="1"/>
      <c r="B2" s="1"/>
      <c r="C2" s="1"/>
      <c r="D2" s="1"/>
      <c r="E2" s="1"/>
      <c r="F2" s="1"/>
      <c r="G2" s="1"/>
      <c r="H2" s="1"/>
      <c r="I2" s="1"/>
    </row>
    <row r="3" customFormat="false" ht="15" hidden="false" customHeight="false" outlineLevel="0" collapsed="false">
      <c r="A3" s="9" t="s">
        <v>355</v>
      </c>
      <c r="B3" s="9" t="s">
        <v>356</v>
      </c>
      <c r="C3" s="9" t="s">
        <v>132</v>
      </c>
      <c r="D3" s="9" t="s">
        <v>136</v>
      </c>
      <c r="E3" s="9" t="s">
        <v>357</v>
      </c>
      <c r="F3" s="9" t="s">
        <v>358</v>
      </c>
      <c r="G3" s="9" t="s">
        <v>359</v>
      </c>
      <c r="H3" s="9" t="s">
        <v>360</v>
      </c>
      <c r="I3" s="9" t="s">
        <v>361</v>
      </c>
    </row>
    <row r="4" customFormat="false" ht="15" hidden="false" customHeight="false" outlineLevel="0" collapsed="false">
      <c r="A4" s="10" t="s">
        <v>362</v>
      </c>
      <c r="B4" s="35" t="n">
        <v>1</v>
      </c>
      <c r="C4" s="35" t="n">
        <v>2</v>
      </c>
      <c r="D4" s="35" t="n">
        <v>3</v>
      </c>
      <c r="E4" s="35" t="n">
        <v>4</v>
      </c>
      <c r="F4" s="35" t="n">
        <v>5</v>
      </c>
      <c r="G4" s="35" t="n">
        <v>6</v>
      </c>
      <c r="H4" s="35" t="n">
        <v>7</v>
      </c>
      <c r="I4" s="1"/>
    </row>
    <row r="5" customFormat="false" ht="15" hidden="false" customHeight="false" outlineLevel="0" collapsed="false">
      <c r="A5" s="10" t="s">
        <v>363</v>
      </c>
      <c r="B5" s="28" t="n">
        <f aca="false">IF(B$4&gt;horizon,0,IF(B$4=1,montee,1))</f>
        <v>0.5</v>
      </c>
      <c r="C5" s="28" t="n">
        <f aca="false">IF(C$4&gt;horizon,0,IF(C$4=1,montee,1))</f>
        <v>1</v>
      </c>
      <c r="D5" s="28" t="n">
        <f aca="false">IF(D$4&gt;horizon,0,IF(D$4=1,montee,1))</f>
        <v>1</v>
      </c>
      <c r="E5" s="28" t="n">
        <f aca="false">IF(E$4&gt;horizon,0,IF(E$4=1,montee,1))</f>
        <v>1</v>
      </c>
      <c r="F5" s="28" t="n">
        <f aca="false">IF(F$4&gt;horizon,0,IF(F$4=1,montee,1))</f>
        <v>1</v>
      </c>
      <c r="G5" s="28" t="n">
        <f aca="false">IF(G$4&gt;horizon,0,IF(G$4=1,montee,1))</f>
        <v>0</v>
      </c>
      <c r="H5" s="28" t="n">
        <f aca="false">IF(H$4&gt;horizon,0,IF(H$4=1,montee,1))</f>
        <v>0</v>
      </c>
      <c r="I5" s="1"/>
    </row>
    <row r="6" customFormat="false" ht="15" hidden="false" customHeight="false" outlineLevel="0" collapsed="false">
      <c r="A6" s="10" t="s">
        <v>364</v>
      </c>
      <c r="B6" s="42" t="n">
        <f aca="false">B5*etpS_p*cout_etp</f>
        <v>67984.7666459241</v>
      </c>
      <c r="C6" s="42" t="n">
        <f aca="false">C5*etpS_p*cout_etp</f>
        <v>135969.533291848</v>
      </c>
      <c r="D6" s="42" t="n">
        <f aca="false">D5*etpS_p*cout_etp</f>
        <v>135969.533291848</v>
      </c>
      <c r="E6" s="42" t="n">
        <f aca="false">E5*etpS_p*cout_etp</f>
        <v>135969.533291848</v>
      </c>
      <c r="F6" s="42" t="n">
        <f aca="false">F5*etpS_p*cout_etp</f>
        <v>135969.533291848</v>
      </c>
      <c r="G6" s="42" t="n">
        <f aca="false">G5*etpS_p*cout_etp</f>
        <v>0</v>
      </c>
      <c r="H6" s="42" t="n">
        <f aca="false">H5*etpS_p*cout_etp</f>
        <v>0</v>
      </c>
      <c r="I6" s="50" t="n">
        <f aca="false">SUM(B6:H6)</f>
        <v>611862.899813317</v>
      </c>
    </row>
    <row r="7" customFormat="false" ht="15" hidden="false" customHeight="false" outlineLevel="0" collapsed="false">
      <c r="A7" s="10" t="s">
        <v>282</v>
      </c>
      <c r="B7" s="42" t="n">
        <f aca="false">B5*eF_p</f>
        <v>2560</v>
      </c>
      <c r="C7" s="42" t="n">
        <f aca="false">C5*eF_p</f>
        <v>5120</v>
      </c>
      <c r="D7" s="42" t="n">
        <f aca="false">D5*eF_p</f>
        <v>5120</v>
      </c>
      <c r="E7" s="42" t="n">
        <f aca="false">E5*eF_p</f>
        <v>5120</v>
      </c>
      <c r="F7" s="42" t="n">
        <f aca="false">F5*eF_p</f>
        <v>5120</v>
      </c>
      <c r="G7" s="42" t="n">
        <f aca="false">G5*eF_p</f>
        <v>0</v>
      </c>
      <c r="H7" s="42" t="n">
        <f aca="false">H5*eF_p</f>
        <v>0</v>
      </c>
      <c r="I7" s="50" t="n">
        <f aca="false">SUM(B7:H7)</f>
        <v>23040</v>
      </c>
    </row>
    <row r="8" customFormat="false" ht="15" hidden="false" customHeight="false" outlineLevel="0" collapsed="false">
      <c r="A8" s="10" t="s">
        <v>365</v>
      </c>
      <c r="B8" s="42" t="n">
        <f aca="false">IF(AND(B$4&gt;1,B$4&lt;=horizon),SUM(decl_amt)+SUM(decl_amt_ind)+d_rec,0)</f>
        <v>0</v>
      </c>
      <c r="C8" s="42" t="n">
        <f aca="false">IF(AND(C$4&gt;1,C$4&lt;=horizon),SUM(decl_amt)+SUM(decl_amt_ind)+d_rec,0)</f>
        <v>45000</v>
      </c>
      <c r="D8" s="42" t="n">
        <f aca="false">IF(AND(D$4&gt;1,D$4&lt;=horizon),SUM(decl_amt)+SUM(decl_amt_ind)+d_rec,0)</f>
        <v>45000</v>
      </c>
      <c r="E8" s="42" t="n">
        <f aca="false">IF(AND(E$4&gt;1,E$4&lt;=horizon),SUM(decl_amt)+SUM(decl_amt_ind)+d_rec,0)</f>
        <v>45000</v>
      </c>
      <c r="F8" s="42" t="n">
        <f aca="false">IF(AND(F$4&gt;1,F$4&lt;=horizon),SUM(decl_amt)+SUM(decl_amt_ind)+d_rec,0)</f>
        <v>45000</v>
      </c>
      <c r="G8" s="42" t="n">
        <f aca="false">IF(AND(G$4&gt;1,G$4&lt;=horizon),SUM(decl_amt)+SUM(decl_amt_ind)+d_rec,0)</f>
        <v>0</v>
      </c>
      <c r="H8" s="42" t="n">
        <f aca="false">IF(AND(H$4&gt;1,H$4&lt;=horizon),SUM(decl_amt)+SUM(decl_amt_ind)+d_rec,0)</f>
        <v>0</v>
      </c>
      <c r="I8" s="50" t="n">
        <f aca="false">SUM(B8:H8)</f>
        <v>180000</v>
      </c>
    </row>
    <row r="9" customFormat="false" ht="15" hidden="false" customHeight="false" outlineLevel="0" collapsed="false">
      <c r="A9" s="10" t="s">
        <v>366</v>
      </c>
      <c r="B9" s="42" t="n">
        <f aca="false">IF(B$4=1,d_inv,0)</f>
        <v>0</v>
      </c>
      <c r="C9" s="42" t="n">
        <f aca="false">IF(C$4=1,d_inv,0)</f>
        <v>0</v>
      </c>
      <c r="D9" s="42" t="n">
        <f aca="false">IF(D$4=1,d_inv,0)</f>
        <v>0</v>
      </c>
      <c r="E9" s="42" t="n">
        <f aca="false">IF(E$4=1,d_inv,0)</f>
        <v>0</v>
      </c>
      <c r="F9" s="42" t="n">
        <f aca="false">IF(F$4=1,d_inv,0)</f>
        <v>0</v>
      </c>
      <c r="G9" s="42" t="n">
        <f aca="false">IF(G$4=1,d_inv,0)</f>
        <v>0</v>
      </c>
      <c r="H9" s="42" t="n">
        <f aca="false">IF(H$4=1,d_inv,0)</f>
        <v>0</v>
      </c>
      <c r="I9" s="50" t="n">
        <f aca="false">SUM(B9:H9)</f>
        <v>0</v>
      </c>
    </row>
    <row r="10" customFormat="false" ht="15" hidden="false" customHeight="false" outlineLevel="0" collapsed="false">
      <c r="A10" s="15" t="s">
        <v>367</v>
      </c>
      <c r="B10" s="50" t="n">
        <f aca="false">SUM(B6:B9)</f>
        <v>70544.7666459241</v>
      </c>
      <c r="C10" s="50" t="n">
        <f aca="false">SUM(C6:C9)</f>
        <v>186089.533291848</v>
      </c>
      <c r="D10" s="50" t="n">
        <f aca="false">SUM(D6:D9)</f>
        <v>186089.533291848</v>
      </c>
      <c r="E10" s="50" t="n">
        <f aca="false">SUM(E6:E9)</f>
        <v>186089.533291848</v>
      </c>
      <c r="F10" s="50" t="n">
        <f aca="false">SUM(F6:F9)</f>
        <v>186089.533291848</v>
      </c>
      <c r="G10" s="50" t="n">
        <f aca="false">SUM(G6:G9)</f>
        <v>0</v>
      </c>
      <c r="H10" s="50" t="n">
        <f aca="false">SUM(H6:H9)</f>
        <v>0</v>
      </c>
      <c r="I10" s="50" t="n">
        <f aca="false">SUM(B10:H10)</f>
        <v>814902.899813317</v>
      </c>
    </row>
    <row r="11" customFormat="false" ht="15" hidden="false" customHeight="false" outlineLevel="0" collapsed="false">
      <c r="A11" s="15" t="s">
        <v>368</v>
      </c>
      <c r="B11" s="50" t="n">
        <f aca="false">IF(B$4&gt;horizon,0,IF(B$4=1,build,0)+run)</f>
        <v>510000</v>
      </c>
      <c r="C11" s="50" t="n">
        <f aca="false">IF(C$4&gt;horizon,0,IF(C$4=1,build,0)+run)</f>
        <v>60000</v>
      </c>
      <c r="D11" s="50" t="n">
        <f aca="false">IF(D$4&gt;horizon,0,IF(D$4=1,build,0)+run)</f>
        <v>60000</v>
      </c>
      <c r="E11" s="50" t="n">
        <f aca="false">IF(E$4&gt;horizon,0,IF(E$4=1,build,0)+run)</f>
        <v>60000</v>
      </c>
      <c r="F11" s="50" t="n">
        <f aca="false">IF(F$4&gt;horizon,0,IF(F$4=1,build,0)+run)</f>
        <v>60000</v>
      </c>
      <c r="G11" s="50" t="n">
        <f aca="false">IF(G$4&gt;horizon,0,IF(G$4=1,build,0)+run)</f>
        <v>0</v>
      </c>
      <c r="H11" s="50" t="n">
        <f aca="false">IF(H$4&gt;horizon,0,IF(H$4=1,build,0)+run)</f>
        <v>0</v>
      </c>
      <c r="I11" s="50" t="n">
        <f aca="false">SUM(B11:H11)</f>
        <v>750000</v>
      </c>
    </row>
    <row r="12" customFormat="false" ht="15" hidden="false" customHeight="false" outlineLevel="0" collapsed="false">
      <c r="A12" s="10" t="s">
        <v>369</v>
      </c>
      <c r="B12" s="42" t="n">
        <f aca="false">B10-B11</f>
        <v>-439455.233354076</v>
      </c>
      <c r="C12" s="42" t="n">
        <f aca="false">IF(C$4&gt;horizon,B12,B12+C10-C11)</f>
        <v>-313365.700062228</v>
      </c>
      <c r="D12" s="42" t="n">
        <f aca="false">IF(D$4&gt;horizon,C12,C12+D10-D11)</f>
        <v>-187276.16677038</v>
      </c>
      <c r="E12" s="42" t="n">
        <f aca="false">IF(E$4&gt;horizon,D12,D12+E10-E11)</f>
        <v>-61186.6334785314</v>
      </c>
      <c r="F12" s="42" t="n">
        <f aca="false">IF(F$4&gt;horizon,E12,E12+F10-F11)</f>
        <v>64902.8998133167</v>
      </c>
      <c r="G12" s="42" t="n">
        <f aca="false">IF(G$4&gt;horizon,F12,F12+G10-G11)</f>
        <v>64902.8998133167</v>
      </c>
      <c r="H12" s="42" t="n">
        <f aca="false">IF(H$4&gt;horizon,G12,G12+H10-H11)</f>
        <v>64902.8998133167</v>
      </c>
      <c r="I12" s="1"/>
    </row>
    <row r="13" customFormat="false" ht="15" hidden="false" customHeight="false" outlineLevel="0" collapsed="false">
      <c r="A13" s="10" t="s">
        <v>43</v>
      </c>
      <c r="B13" s="42" t="n">
        <f aca="false">B5*vR_p</f>
        <v>126257.423771002</v>
      </c>
      <c r="C13" s="42" t="n">
        <f aca="false">C5*vR_p</f>
        <v>252514.847542004</v>
      </c>
      <c r="D13" s="42" t="n">
        <f aca="false">D5*vR_p</f>
        <v>252514.847542004</v>
      </c>
      <c r="E13" s="42" t="n">
        <f aca="false">E5*vR_p</f>
        <v>252514.847542004</v>
      </c>
      <c r="F13" s="42" t="n">
        <f aca="false">F5*vR_p</f>
        <v>252514.847542004</v>
      </c>
      <c r="G13" s="42" t="n">
        <f aca="false">G5*vR_p</f>
        <v>0</v>
      </c>
      <c r="H13" s="42" t="n">
        <f aca="false">H5*vR_p</f>
        <v>0</v>
      </c>
      <c r="I13" s="50" t="n">
        <f aca="false">SUM(B13:H13)</f>
        <v>1136316.81393902</v>
      </c>
    </row>
    <row r="14" customFormat="false" ht="15" hidden="false" customHeight="false" outlineLevel="0" collapsed="false">
      <c r="A14" s="10" t="s">
        <v>44</v>
      </c>
      <c r="B14" s="42" t="n">
        <f aca="false">B5*vU_p</f>
        <v>134788.64</v>
      </c>
      <c r="C14" s="42" t="n">
        <f aca="false">C5*vU_p</f>
        <v>269577.28</v>
      </c>
      <c r="D14" s="42" t="n">
        <f aca="false">D5*vU_p</f>
        <v>269577.28</v>
      </c>
      <c r="E14" s="42" t="n">
        <f aca="false">E5*vU_p</f>
        <v>269577.28</v>
      </c>
      <c r="F14" s="42" t="n">
        <f aca="false">F5*vU_p</f>
        <v>269577.28</v>
      </c>
      <c r="G14" s="42" t="n">
        <f aca="false">G5*vU_p</f>
        <v>0</v>
      </c>
      <c r="H14" s="42" t="n">
        <f aca="false">H5*vU_p</f>
        <v>0</v>
      </c>
      <c r="I14" s="50" t="n">
        <f aca="false">SUM(B14:H14)</f>
        <v>1213097.76</v>
      </c>
    </row>
    <row r="15" customFormat="false" ht="15" hidden="false" customHeight="false" outlineLevel="0" collapsed="false">
      <c r="A15" s="15" t="s">
        <v>370</v>
      </c>
      <c r="B15" s="50" t="n">
        <f aca="false">B10+B13+B14</f>
        <v>331590.830416926</v>
      </c>
      <c r="C15" s="50" t="n">
        <f aca="false">C10+C13+C14</f>
        <v>708181.660833852</v>
      </c>
      <c r="D15" s="50" t="n">
        <f aca="false">D10+D13+D14</f>
        <v>708181.660833852</v>
      </c>
      <c r="E15" s="50" t="n">
        <f aca="false">E10+E13+E14</f>
        <v>708181.660833852</v>
      </c>
      <c r="F15" s="50" t="n">
        <f aca="false">F10+F13+F14</f>
        <v>708181.660833852</v>
      </c>
      <c r="G15" s="50" t="n">
        <f aca="false">G10+G13+G14</f>
        <v>0</v>
      </c>
      <c r="H15" s="50" t="n">
        <f aca="false">H10+H13+H14</f>
        <v>0</v>
      </c>
      <c r="I15" s="50" t="n">
        <f aca="false">SUM(B15:H15)</f>
        <v>3164317.47375233</v>
      </c>
    </row>
    <row r="16" customFormat="false" ht="15" hidden="false" customHeight="false" outlineLevel="0" collapsed="false">
      <c r="A16" s="10" t="s">
        <v>371</v>
      </c>
      <c r="B16" s="42" t="n">
        <f aca="false">B5*(eS_r+eF_r+vR_r+vU_r)</f>
        <v>290497.281360714</v>
      </c>
      <c r="C16" s="42" t="n">
        <f aca="false">C5*(eS_r+eF_r+vR_r+vU_r)</f>
        <v>580994.562721427</v>
      </c>
      <c r="D16" s="42" t="n">
        <f aca="false">D5*(eS_r+eF_r+vR_r+vU_r)</f>
        <v>580994.562721427</v>
      </c>
      <c r="E16" s="42" t="n">
        <f aca="false">E5*(eS_r+eF_r+vR_r+vU_r)</f>
        <v>580994.562721427</v>
      </c>
      <c r="F16" s="42" t="n">
        <f aca="false">F5*(eS_r+eF_r+vR_r+vU_r)</f>
        <v>580994.562721427</v>
      </c>
      <c r="G16" s="42" t="n">
        <f aca="false">G5*(eS_r+eF_r+vR_r+vU_r)</f>
        <v>0</v>
      </c>
      <c r="H16" s="42" t="n">
        <f aca="false">H5*(eS_r+eF_r+vR_r+vU_r)</f>
        <v>0</v>
      </c>
      <c r="I16" s="50" t="n">
        <f aca="false">SUM(B16:H16)</f>
        <v>2614475.53224642</v>
      </c>
    </row>
    <row r="17" customFormat="false" ht="15" hidden="false" customHeight="false" outlineLevel="0" collapsed="false">
      <c r="A17" s="10" t="s">
        <v>372</v>
      </c>
      <c r="B17" s="42" t="n">
        <f aca="false">IF(B$4&gt;horizon,0,IF(B$4=1,ref_build,0)+ref_run)</f>
        <v>20000</v>
      </c>
      <c r="C17" s="42" t="n">
        <f aca="false">IF(C$4&gt;horizon,0,IF(C$4=1,ref_build,0)+ref_run)</f>
        <v>0</v>
      </c>
      <c r="D17" s="42" t="n">
        <f aca="false">IF(D$4&gt;horizon,0,IF(D$4=1,ref_build,0)+ref_run)</f>
        <v>0</v>
      </c>
      <c r="E17" s="42" t="n">
        <f aca="false">IF(E$4&gt;horizon,0,IF(E$4=1,ref_build,0)+ref_run)</f>
        <v>0</v>
      </c>
      <c r="F17" s="42" t="n">
        <f aca="false">IF(F$4&gt;horizon,0,IF(F$4=1,ref_build,0)+ref_run)</f>
        <v>0</v>
      </c>
      <c r="G17" s="42" t="n">
        <f aca="false">IF(G$4&gt;horizon,0,IF(G$4=1,ref_build,0)+ref_run)</f>
        <v>0</v>
      </c>
      <c r="H17" s="42" t="n">
        <f aca="false">IF(H$4&gt;horizon,0,IF(H$4=1,ref_build,0)+ref_run)</f>
        <v>0</v>
      </c>
      <c r="I17" s="50" t="n">
        <f aca="false">SUM(B17:H17)</f>
        <v>20000</v>
      </c>
    </row>
    <row r="18" customFormat="false" ht="15" hidden="false" customHeight="false" outlineLevel="0" collapsed="false">
      <c r="A18" s="10" t="s">
        <v>373</v>
      </c>
      <c r="B18" s="35" t="n">
        <f aca="false">IF(AND(B$4&lt;=horizon,B12&gt;=0),B$4,99)</f>
        <v>99</v>
      </c>
      <c r="C18" s="35" t="n">
        <f aca="false">IF(AND(C$4&lt;=horizon,C12&gt;=0),C$4,99)</f>
        <v>99</v>
      </c>
      <c r="D18" s="35" t="n">
        <f aca="false">IF(AND(D$4&lt;=horizon,D12&gt;=0),D$4,99)</f>
        <v>99</v>
      </c>
      <c r="E18" s="35" t="n">
        <f aca="false">IF(AND(E$4&lt;=horizon,E12&gt;=0),E$4,99)</f>
        <v>99</v>
      </c>
      <c r="F18" s="35" t="n">
        <f aca="false">IF(AND(F$4&lt;=horizon,F12&gt;=0),F$4,99)</f>
        <v>5</v>
      </c>
      <c r="G18" s="35" t="n">
        <f aca="false">IF(AND(G$4&lt;=horizon,G12&gt;=0),G$4,99)</f>
        <v>99</v>
      </c>
      <c r="H18" s="35" t="n">
        <f aca="false">IF(AND(H$4&lt;=horizon,H12&gt;=0),H$4,99)</f>
        <v>99</v>
      </c>
      <c r="I18" s="1"/>
    </row>
    <row r="19" customFormat="false" ht="15" hidden="false" customHeight="false" outlineLevel="0" collapsed="false">
      <c r="A19" s="1"/>
      <c r="B19" s="1"/>
      <c r="C19" s="1"/>
      <c r="D19" s="1"/>
      <c r="E19" s="1"/>
      <c r="F19" s="1"/>
      <c r="G19" s="1"/>
      <c r="H19" s="1"/>
      <c r="I19" s="1"/>
    </row>
    <row r="20" customFormat="false" ht="15" hidden="false" customHeight="false" outlineLevel="0" collapsed="false">
      <c r="A20" s="20" t="s">
        <v>374</v>
      </c>
      <c r="B20" s="1"/>
      <c r="C20" s="1"/>
      <c r="D20" s="1"/>
      <c r="E20" s="1"/>
      <c r="F20" s="1"/>
      <c r="G20" s="1"/>
      <c r="H20" s="1"/>
      <c r="I20" s="1"/>
    </row>
    <row r="21" customFormat="false" ht="15" hidden="false" customHeight="true" outlineLevel="0" collapsed="false">
      <c r="A21" s="15" t="s">
        <v>375</v>
      </c>
      <c r="B21" s="52" t="n">
        <f aca="false">IF(I11&gt;0,I10/I11,0)</f>
        <v>1.08653719975109</v>
      </c>
      <c r="C21" s="53" t="s">
        <v>376</v>
      </c>
      <c r="D21" s="53"/>
      <c r="E21" s="53"/>
      <c r="F21" s="53"/>
      <c r="G21" s="53"/>
      <c r="H21" s="53"/>
      <c r="I21" s="53"/>
    </row>
    <row r="22" customFormat="false" ht="15" hidden="false" customHeight="true" outlineLevel="0" collapsed="false">
      <c r="A22" s="15" t="s">
        <v>377</v>
      </c>
      <c r="B22" s="52" t="n">
        <f aca="false">IF(I11&gt;0,I15/I11,0)</f>
        <v>4.21908996500311</v>
      </c>
      <c r="C22" s="53" t="s">
        <v>378</v>
      </c>
      <c r="D22" s="53"/>
      <c r="E22" s="53"/>
      <c r="F22" s="53"/>
      <c r="G22" s="53"/>
      <c r="H22" s="53"/>
      <c r="I22" s="53"/>
    </row>
    <row r="23" customFormat="false" ht="15" hidden="false" customHeight="false" outlineLevel="0" collapsed="false">
      <c r="A23" s="15" t="s">
        <v>48</v>
      </c>
      <c r="B23" s="54" t="n">
        <f aca="false">IF(MIN(B18:H18)=99,"au-delà de l'horizon",MIN(B18:H18))</f>
        <v>5</v>
      </c>
      <c r="C23" s="53"/>
      <c r="D23" s="53"/>
      <c r="E23" s="53"/>
      <c r="F23" s="53"/>
      <c r="G23" s="53"/>
      <c r="H23" s="53"/>
      <c r="I23" s="53"/>
    </row>
    <row r="24" customFormat="false" ht="15" hidden="false" customHeight="false" outlineLevel="0" collapsed="false">
      <c r="A24" s="15" t="s">
        <v>379</v>
      </c>
      <c r="B24" s="40" t="n">
        <f aca="false">IF(nB_p&gt;0,(eS_p+eF_p)/nB_p,0)</f>
        <v>4.40904791537026</v>
      </c>
      <c r="C24" s="53"/>
      <c r="D24" s="53"/>
      <c r="E24" s="53"/>
      <c r="F24" s="53"/>
      <c r="G24" s="53"/>
      <c r="H24" s="53"/>
      <c r="I24" s="53"/>
    </row>
    <row r="25" customFormat="false" ht="15" hidden="false" customHeight="true" outlineLevel="0" collapsed="false">
      <c r="A25" s="15" t="s">
        <v>380</v>
      </c>
      <c r="B25" s="55" t="n">
        <f aca="false">IF(g_doss*s_adopt&lt;=0,"non atteignable",MAX(0,I11-I8-I9)/(g_doss*s_adopt*(montee+horizon-1)))</f>
        <v>35911.0030946527</v>
      </c>
      <c r="C25" s="53" t="s">
        <v>381</v>
      </c>
      <c r="D25" s="53"/>
      <c r="E25" s="53"/>
      <c r="F25" s="53"/>
      <c r="G25" s="53"/>
      <c r="H25" s="53"/>
      <c r="I25" s="53"/>
    </row>
    <row r="26" customFormat="false" ht="15" hidden="false" customHeight="false" outlineLevel="0" collapsed="false">
      <c r="A26" s="15" t="s">
        <v>382</v>
      </c>
      <c r="B26" s="40" t="n">
        <f aca="false">IF(dossiers*horizon&gt;0,I11/(dossiers*horizon),0)</f>
        <v>3.75</v>
      </c>
      <c r="C26" s="53"/>
      <c r="D26" s="53"/>
      <c r="E26" s="53"/>
      <c r="F26" s="53"/>
      <c r="G26" s="53"/>
      <c r="H26" s="53"/>
      <c r="I26" s="53"/>
    </row>
    <row r="27" customFormat="false" ht="15" hidden="false" customHeight="true" outlineLevel="0" collapsed="false">
      <c r="A27" s="15" t="s">
        <v>383</v>
      </c>
      <c r="B27" s="50" t="n">
        <f aca="false">I15-I16</f>
        <v>549841.941505911</v>
      </c>
      <c r="C27" s="53" t="s">
        <v>384</v>
      </c>
      <c r="D27" s="53"/>
      <c r="E27" s="53"/>
      <c r="F27" s="53"/>
      <c r="G27" s="53"/>
      <c r="H27" s="53"/>
      <c r="I27" s="53"/>
    </row>
    <row r="28" customFormat="false" ht="15" hidden="false" customHeight="false" outlineLevel="0" collapsed="false">
      <c r="A28" s="15" t="s">
        <v>385</v>
      </c>
      <c r="B28" s="50" t="n">
        <f aca="false">I11-I17</f>
        <v>730000</v>
      </c>
      <c r="C28" s="53"/>
      <c r="D28" s="53"/>
      <c r="E28" s="53"/>
      <c r="F28" s="53"/>
      <c r="G28" s="53"/>
      <c r="H28" s="53"/>
      <c r="I28" s="53"/>
    </row>
    <row r="29" customFormat="false" ht="15" hidden="false" customHeight="true" outlineLevel="0" collapsed="false">
      <c r="A29" s="15" t="s">
        <v>386</v>
      </c>
      <c r="B29" s="52" t="n">
        <f aca="false">IF(diff_c&gt;0,diff_g/diff_c,0)</f>
        <v>0.753208139049194</v>
      </c>
      <c r="C29" s="53" t="s">
        <v>387</v>
      </c>
      <c r="D29" s="53"/>
      <c r="E29" s="53"/>
      <c r="F29" s="53"/>
      <c r="G29" s="53"/>
      <c r="H29" s="53"/>
      <c r="I29" s="53"/>
    </row>
    <row r="30" customFormat="false" ht="22.35" hidden="false" customHeight="true" outlineLevel="0" collapsed="false">
      <c r="A30" s="15" t="s">
        <v>388</v>
      </c>
      <c r="B30" s="56" t="n">
        <f aca="false">IF((eS_p+eF_p)+(SUM(decl_amt)+SUM(decl_amt_ind)+d_rec)&gt;0,((eS_p+eF_p)*IF(vol_source="Mesuré",1,0.5)+(SUMIF(decl_just,"Oui",decl_amt)+SUMIF(decl_just_ind,"Oui",decl_amt_ind)+IF(d_rec_j="Oui",d_rec,0)))/((eS_p+eF_p)+(SUM(decl_amt)+SUM(decl_amt_ind)+d_rec)),0)</f>
        <v>0.540303180234418</v>
      </c>
      <c r="C30" s="53" t="s">
        <v>389</v>
      </c>
      <c r="D30" s="53"/>
      <c r="E30" s="53"/>
      <c r="F30" s="53"/>
      <c r="G30" s="53"/>
      <c r="H30" s="53"/>
      <c r="I30" s="53"/>
    </row>
    <row r="31" customFormat="false" ht="15" hidden="false" customHeight="false" outlineLevel="0" collapsed="false">
      <c r="A31" s="1"/>
      <c r="B31" s="1"/>
      <c r="C31" s="1"/>
      <c r="D31" s="1"/>
      <c r="E31" s="1"/>
      <c r="F31" s="1"/>
      <c r="G31" s="1"/>
      <c r="H31" s="1"/>
      <c r="I31" s="1"/>
    </row>
    <row r="32" customFormat="false" ht="15" hidden="false" customHeight="false" outlineLevel="0" collapsed="false">
      <c r="A32" s="20" t="s">
        <v>390</v>
      </c>
      <c r="B32" s="1"/>
      <c r="C32" s="1"/>
      <c r="D32" s="1"/>
      <c r="E32" s="1"/>
      <c r="F32" s="1"/>
      <c r="G32" s="1"/>
      <c r="H32" s="1"/>
      <c r="I32" s="1"/>
    </row>
    <row r="33" customFormat="false" ht="15" hidden="false" customHeight="false" outlineLevel="0" collapsed="false">
      <c r="A33" s="15" t="s">
        <v>391</v>
      </c>
      <c r="B33" s="55" t="n">
        <f aca="false">dossiers*(dep_tA+fond_min)/60</f>
        <v>27733.3333333333</v>
      </c>
      <c r="C33" s="53"/>
      <c r="D33" s="53"/>
      <c r="E33" s="53"/>
      <c r="F33" s="53"/>
      <c r="G33" s="53"/>
      <c r="H33" s="53"/>
      <c r="I33" s="53"/>
    </row>
    <row r="34" customFormat="false" ht="15" hidden="false" customHeight="false" outlineLevel="0" collapsed="false">
      <c r="A34" s="15" t="s">
        <v>392</v>
      </c>
      <c r="B34" s="55" t="n">
        <f aca="false">agents*part_temps*h_etp</f>
        <v>20087.5</v>
      </c>
      <c r="C34" s="53"/>
      <c r="D34" s="53"/>
      <c r="E34" s="53"/>
      <c r="F34" s="53"/>
      <c r="G34" s="53"/>
      <c r="H34" s="53"/>
      <c r="I34" s="53"/>
    </row>
    <row r="35" customFormat="false" ht="15" hidden="false" customHeight="true" outlineLevel="0" collapsed="false">
      <c r="A35" s="15" t="s">
        <v>393</v>
      </c>
      <c r="B35" s="52" t="n">
        <f aca="false">IF(h_dispo&gt;0,h_besoin/h_dispo,0)</f>
        <v>1.38062642605269</v>
      </c>
      <c r="C35" s="53" t="s">
        <v>394</v>
      </c>
      <c r="D35" s="53"/>
      <c r="E35" s="53"/>
      <c r="F35" s="53"/>
      <c r="G35" s="53"/>
      <c r="H35" s="53"/>
      <c r="I35" s="53"/>
    </row>
    <row r="36" customFormat="false" ht="15" hidden="false" customHeight="false" outlineLevel="0" collapsed="false">
      <c r="A36" s="1"/>
      <c r="B36" s="1"/>
      <c r="C36" s="1"/>
      <c r="D36" s="1"/>
      <c r="E36" s="1"/>
      <c r="F36" s="1"/>
      <c r="G36" s="1"/>
      <c r="H36" s="1"/>
      <c r="I36" s="1"/>
    </row>
    <row r="37" customFormat="false" ht="15" hidden="false" customHeight="false" outlineLevel="0" collapsed="false">
      <c r="A37" s="20" t="s">
        <v>53</v>
      </c>
      <c r="B37" s="1"/>
      <c r="C37" s="1"/>
      <c r="D37" s="1"/>
      <c r="E37" s="1"/>
      <c r="F37" s="1"/>
      <c r="G37" s="1"/>
      <c r="H37" s="1"/>
      <c r="I37" s="1"/>
    </row>
    <row r="38" customFormat="false" ht="15" hidden="false" customHeight="false" outlineLevel="0" collapsed="false">
      <c r="A38" s="10" t="str">
        <f aca="false">IF(OR(ratio_eff&lt;0.5,ratio_eff&gt;1.5),"⚠ Effectif déclaré et volume ne concordent pas (ratio "&amp;TEXT(ratio_eff,"0.0")&amp;") : à expliquer","✓ Effectif et volume cohérents")</f>
        <v>✓ Effectif et volume cohérents</v>
      </c>
      <c r="B38" s="10"/>
      <c r="C38" s="10"/>
      <c r="D38" s="10"/>
      <c r="E38" s="10"/>
      <c r="F38" s="10"/>
      <c r="G38" s="10"/>
      <c r="H38" s="10"/>
      <c r="I38" s="10"/>
    </row>
    <row r="39" customFormat="false" ht="15" hidden="false" customHeight="false" outlineLevel="0" collapsed="false">
      <c r="A39" s="10" t="str">
        <f aca="false">IF(etpL_p&gt;agents*part_temps*0.8,"⚠ Les ETP libérés dépassent 80 % de l'effectif consacré à la démarche","✓ ETP libérés compatibles avec l'effectif")</f>
        <v>✓ ETP libérés compatibles avec l'effectif</v>
      </c>
      <c r="B39" s="10"/>
      <c r="C39" s="10"/>
      <c r="D39" s="10"/>
      <c r="E39" s="10"/>
      <c r="F39" s="10"/>
      <c r="G39" s="10"/>
      <c r="H39" s="10"/>
      <c r="I39" s="10"/>
    </row>
    <row r="40" customFormat="false" ht="15" hidden="false" customHeight="false" outlineLevel="0" collapsed="false">
      <c r="A40" s="10" t="str">
        <f aca="false">IF(AND(dep_C=cib_C,dep_T=cib_T),"⚠ Départ et cible identiques : aucun gain ne peut être attribué au projet",IF(dA_p&lt;=0,"⚠ La cible ne réduit pas le temps agent par rapport au départ","✓ Écart départ / cible établi"))</f>
        <v>✓ Écart départ / cible établi</v>
      </c>
      <c r="B40" s="10"/>
      <c r="C40" s="10"/>
      <c r="D40" s="10"/>
      <c r="E40" s="10"/>
      <c r="F40" s="10"/>
      <c r="G40" s="10"/>
      <c r="H40" s="10"/>
      <c r="I40" s="10"/>
    </row>
    <row r="41" customFormat="false" ht="15" hidden="false" customHeight="false" outlineLevel="0" collapsed="false">
      <c r="A41" s="10" t="str">
        <f aca="false">IF(run=0,"⚠ Coût de fonctionnement nul : le run est-il bien compté ?","✓ Coût de fonctionnement renseigné")</f>
        <v>✓ Coût de fonctionnement renseigné</v>
      </c>
      <c r="B41" s="10"/>
      <c r="C41" s="10"/>
      <c r="D41" s="10"/>
      <c r="E41" s="10"/>
      <c r="F41" s="10"/>
      <c r="G41" s="10"/>
      <c r="H41" s="10"/>
      <c r="I41" s="10"/>
    </row>
    <row r="42" customFormat="false" ht="15" hidden="false" customHeight="false" outlineLevel="0" collapsed="false">
      <c r="A42" s="10" t="str">
        <f aca="false">IF(diff_c&gt;0,IF(diff_roi&lt;1,"⚠ Le surcoût par rapport à la solution mutualisée n'est pas couvert par le gain supplémentaire","✓ Le surcoût par rapport à la référence est couvert"),"✓ Pas de surcoût par rapport à la référence")</f>
        <v>⚠ Le surcoût par rapport à la solution mutualisée n'est pas couvert par le gain supplémentaire</v>
      </c>
      <c r="B42" s="10"/>
      <c r="C42" s="10"/>
      <c r="D42" s="10"/>
      <c r="E42" s="10"/>
      <c r="F42" s="10"/>
      <c r="G42" s="10"/>
      <c r="H42" s="10"/>
      <c r="I42" s="10"/>
    </row>
    <row r="43" customFormat="false" ht="15" hidden="false" customHeight="false" outlineLevel="0" collapsed="false">
      <c r="A43" s="10" t="str">
        <f aca="false">IF(factu&lt;0.5,"⚠ Moins de la moitié des gains budgétaires est factualisée","✓ Gains majoritairement factualisés")</f>
        <v>✓ Gains majoritairement factualisés</v>
      </c>
      <c r="B43" s="10"/>
      <c r="C43" s="10"/>
      <c r="D43" s="10"/>
      <c r="E43" s="10"/>
      <c r="F43" s="10"/>
      <c r="G43" s="10"/>
      <c r="H43" s="10"/>
      <c r="I43" s="10"/>
    </row>
    <row r="44" customFormat="false" ht="15" hidden="false" customHeight="false" outlineLevel="0" collapsed="false">
      <c r="A44" s="10" t="str">
        <f aca="false">IF(ABS(rep_tot-1)&gt;0.001,"⚠ La répartition par catégorie ne fait pas 100 %","✓ Répartition par catégorie complète")</f>
        <v>✓ Répartition par catégorie complète</v>
      </c>
      <c r="B44" s="10"/>
      <c r="C44" s="10"/>
      <c r="D44" s="10"/>
      <c r="E44" s="10"/>
      <c r="F44" s="10"/>
      <c r="G44" s="10"/>
      <c r="H44" s="10"/>
      <c r="I44" s="10"/>
    </row>
    <row r="45" customFormat="false" ht="15" hidden="false" customHeight="false" outlineLevel="0" collapsed="false">
      <c r="A45" s="10" t="str">
        <f aca="false">IF(OR(dep_C="C0",dep_C="C1"),"ℹ Départ papier ou courriel : joindre la répartition des dossiers par canal","ℹ Niveau de départ à justifier par la répartition des dossiers par canal")</f>
        <v>ℹ Niveau de départ à justifier par la répartition des dossiers par canal</v>
      </c>
      <c r="B45" s="10"/>
      <c r="C45" s="10"/>
      <c r="D45" s="10"/>
      <c r="E45" s="10"/>
      <c r="F45" s="10"/>
      <c r="G45" s="10"/>
      <c r="H45" s="10"/>
      <c r="I45" s="10"/>
    </row>
  </sheetData>
  <mergeCells count="21">
    <mergeCell ref="C21:I21"/>
    <mergeCell ref="C22:I22"/>
    <mergeCell ref="C23:I23"/>
    <mergeCell ref="C24:I24"/>
    <mergeCell ref="C25:I25"/>
    <mergeCell ref="C26:I26"/>
    <mergeCell ref="C27:I27"/>
    <mergeCell ref="C28:I28"/>
    <mergeCell ref="C29:I29"/>
    <mergeCell ref="C30:I30"/>
    <mergeCell ref="C33:I33"/>
    <mergeCell ref="C34:I34"/>
    <mergeCell ref="C35:I35"/>
    <mergeCell ref="A38:I38"/>
    <mergeCell ref="A39:I39"/>
    <mergeCell ref="A40:I40"/>
    <mergeCell ref="A41:I41"/>
    <mergeCell ref="A42:I42"/>
    <mergeCell ref="A43:I43"/>
    <mergeCell ref="A44:I44"/>
    <mergeCell ref="A45:I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2026-10-28T11:56:28Z</dcterms:created>
  <dc:creator>openpyxl</dc:creator>
  <dc:description/>
  <dc:language>en-US</dc:language>
  <cp:lastModifiedBy/>
  <dcterms:modified xsi:type="dcterms:W3CDTF">2026-10-28T11:56:28Z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